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  <sheet xmlns:r="http://schemas.openxmlformats.org/officeDocument/2006/relationships" name="Cash Flow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Unit Econom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8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</font>
    <font>
      <b val="1"/>
      <sz val="14"/>
    </font>
    <font>
      <b val="1"/>
      <color rgb="000000FF"/>
    </font>
    <font>
      <b val="1"/>
      <color rgb="00FF0000"/>
      <sz val="12"/>
    </font>
    <font>
      <b val="1"/>
      <color rgb="00FFFFFF"/>
      <sz val="14"/>
    </font>
    <font>
      <b val="1"/>
      <color rgb="00FF0000"/>
      <sz val="14"/>
    </font>
  </fonts>
  <fills count="2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0066CC"/>
        <bgColor rgb="000066CC"/>
      </patternFill>
    </fill>
    <fill>
      <patternFill patternType="solid">
        <fgColor rgb="00FFFF00"/>
        <bgColor rgb="00FFFF00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6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7" fillId="23" borderId="0" applyAlignment="1" pivotButton="0" quotePrefix="0" xfId="0">
      <alignment vertical="bottom"/>
    </xf>
    <xf numFmtId="0" fontId="36" fillId="22" borderId="0" pivotButton="0" quotePrefix="0" xfId="0"/>
    <xf numFmtId="0" fontId="32" fillId="0" borderId="0" pivotButton="0" quotePrefix="0" xfId="0"/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ET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  <col width="25" customWidth="1" style="362" min="25" max="25"/>
    <col width="20" customWidth="1" style="362" min="26" max="26"/>
  </cols>
  <sheetData>
    <row r="1">
      <c r="A1" s="363" t="inlineStr">
        <is>
          <t>🔧 TEMPLATE BP 50 MOIS - Gabarit à valider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  <c r="Y1" s="364" t="inlineStr">
        <is>
          <t>DASHBOARD EXÉCUTIF</t>
        </is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  <c r="Y3" s="365" t="inlineStr">
        <is>
          <t>ARR MILESTONES</t>
        </is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  <c r="Y4" t="inlineStr">
        <is>
          <t>Milestone</t>
        </is>
      </c>
      <c r="Z4" t="inlineStr">
        <is>
          <t>ARR Target</t>
        </is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  <c r="Y5" t="inlineStr">
        <is>
          <t>M1 (Bootstrap)</t>
        </is>
      </c>
      <c r="Z5" t="n">
        <v>10000</v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  <c r="Y6" t="inlineStr">
        <is>
          <t>M6 (PRE-SEED)</t>
        </is>
      </c>
      <c r="Z6" t="n">
        <v>500000</v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  <c r="Y7" t="inlineStr">
        <is>
          <t>M12 (SEED)</t>
        </is>
      </c>
      <c r="Z7" t="n">
        <v>800000</v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  <c r="Y8" t="inlineStr">
        <is>
          <t>M18 (Post Seed)</t>
        </is>
      </c>
      <c r="Z8" t="n">
        <v>1500000</v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  <c r="Y9" t="inlineStr">
        <is>
          <t>M36 (Series A)</t>
        </is>
      </c>
      <c r="Z9" t="n">
        <v>4000000</v>
      </c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  <c r="Y10" t="inlineStr">
        <is>
          <t>M48 (Pre Series B)</t>
        </is>
      </c>
      <c r="Z10" t="n">
        <v>6000000</v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  <c r="Y12" s="365" t="inlineStr">
        <is>
          <t>KPIs CRITIQUES</t>
        </is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  <c r="Y13" t="inlineStr">
        <is>
          <t>KPI</t>
        </is>
      </c>
      <c r="Z13" t="inlineStr">
        <is>
          <t>Valeur</t>
        </is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  <c r="Y14" t="inlineStr">
        <is>
          <t>Target LTV/CAC</t>
        </is>
      </c>
      <c r="Z14" t="n">
        <v>8</v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  <c r="Y15" t="inlineStr">
        <is>
          <t>Max Churn Annual</t>
        </is>
      </c>
      <c r="Z15" t="inlineStr">
        <is>
          <t>15.0%</t>
        </is>
      </c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  <c r="Y16" t="inlineStr">
        <is>
          <t>Marge Brute Target</t>
        </is>
      </c>
      <c r="Z16" t="inlineStr">
        <is>
          <t>70%</t>
        </is>
      </c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  <c r="Y17" t="inlineStr">
        <is>
          <t>EBITDA Margin Target</t>
        </is>
      </c>
      <c r="Z17" t="inlineStr">
        <is>
          <t>-15%</t>
        </is>
      </c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  <c r="Y18" t="inlineStr">
        <is>
          <t>Min Cash Runway</t>
        </is>
      </c>
      <c r="Z18" t="inlineStr">
        <is>
          <t>12 mois</t>
        </is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  <c r="Y19" t="inlineStr">
        <is>
          <t>Max Burn Rate</t>
        </is>
      </c>
      <c r="Z19" t="inlineStr">
        <is>
          <t>50,000€/mois</t>
        </is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  <c r="Y21" s="365" t="inlineStr">
        <is>
          <t>HYPOTHÈSES CRITIQUES</t>
        </is>
      </c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  <c r="Y22" t="inlineStr">
        <is>
          <t>• Conversion hackathon → factory 30%</t>
        </is>
      </c>
      <c r="Z22" t="inlineStr">
        <is>
          <t>MEDIUM</t>
        </is>
      </c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  <c r="Y23" t="inlineStr">
        <is>
          <t>• Lancement Hub M8 sans retard</t>
        </is>
      </c>
      <c r="Z23" t="inlineStr">
        <is>
          <t>HIGH</t>
        </is>
      </c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  <c r="Y24" t="inlineStr">
        <is>
          <t>• Seed 500K€ en Sept 2026</t>
        </is>
      </c>
      <c r="Z24" t="inlineStr">
        <is>
          <t>MEDIUM</t>
        </is>
      </c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  <c r="Y25" t="inlineStr">
        <is>
          <t>• Churn Hub 10% annuel</t>
        </is>
      </c>
      <c r="Z25" t="inlineStr">
        <is>
          <t>LOW</t>
        </is>
      </c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  <c r="Y26" t="inlineStr">
        <is>
          <t>• Équipe 5 → 12 ETP sans turnover</t>
        </is>
      </c>
      <c r="Z26" t="inlineStr">
        <is>
          <t>MEDIUM</t>
        </is>
      </c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4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6" t="inlineStr">
        <is>
          <t>Scénario Idéaliste</t>
        </is>
      </c>
      <c r="D17" s="367" t="n"/>
      <c r="E17" s="112" t="inlineStr">
        <is>
          <t>Total</t>
        </is>
      </c>
      <c r="F17" s="143" t="inlineStr">
        <is>
          <t>Small Market</t>
        </is>
      </c>
      <c r="G17" s="368" t="n"/>
      <c r="H17" s="368" t="n"/>
      <c r="I17" s="367" t="n"/>
      <c r="J17" s="115" t="inlineStr">
        <is>
          <t>Total</t>
        </is>
      </c>
      <c r="K17" s="145" t="inlineStr">
        <is>
          <t>Mid Market</t>
        </is>
      </c>
      <c r="L17" s="368" t="n"/>
      <c r="M17" s="367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8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9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9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9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9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70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6" t="inlineStr">
        <is>
          <t>Scénario Réaliste</t>
        </is>
      </c>
      <c r="D30" s="367" t="n"/>
      <c r="E30" s="143" t="inlineStr">
        <is>
          <t>Total</t>
        </is>
      </c>
      <c r="F30" s="371" t="inlineStr">
        <is>
          <t>Small Market</t>
        </is>
      </c>
      <c r="G30" s="368" t="n"/>
      <c r="H30" s="368" t="n"/>
      <c r="I30" s="367" t="n"/>
      <c r="J30" s="145" t="inlineStr">
        <is>
          <t xml:space="preserve">Total </t>
        </is>
      </c>
      <c r="K30" s="372" t="inlineStr">
        <is>
          <t>Mid Market</t>
        </is>
      </c>
      <c r="L30" s="368" t="n"/>
      <c r="M30" s="367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8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9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9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9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70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T1007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365" t="inlineStr">
        <is>
          <t>ARR (Annual Recurring Revenue)</t>
        </is>
      </c>
    </row>
    <row r="4" ht="15.75" customHeight="1" s="362">
      <c r="A4" s="365" t="inlineStr">
        <is>
          <t>MRR (Monthly Recurring Revenue)</t>
        </is>
      </c>
    </row>
    <row r="5" ht="15.75" customHeight="1" s="362">
      <c r="A5" t="inlineStr">
        <is>
          <t>---</t>
        </is>
      </c>
    </row>
    <row r="6" ht="15.75" customHeight="1" s="362">
      <c r="A6" s="172">
        <f>Ventes!A2</f>
        <v/>
      </c>
      <c r="B6" s="180" t="n">
        <v>4</v>
      </c>
      <c r="C6" s="174">
        <f>SUM(F3:Q3)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SUM(S3:AD3)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SUM(AF3:AQ3)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SUM(AS3:BD3)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SUM(BF3:BQ3)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4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7">
        <f>Ventes!A5</f>
        <v/>
      </c>
      <c r="B7" s="180" t="n">
        <v>9</v>
      </c>
      <c r="C7" s="174">
        <f>SUM(F4:Q4)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SUM(S4:AD4)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SUM(AF4:AQ4)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SUM(AS4:BD4)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SUM(BF4:BQ4)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341" t="n"/>
      <c r="BT7" s="341" t="n"/>
      <c r="BU7" s="341" t="n"/>
      <c r="BV7" s="341" t="n"/>
      <c r="BW7" s="341" t="n"/>
      <c r="BX7" s="341" t="n"/>
      <c r="BY7" s="341" t="n"/>
      <c r="BZ7" s="341" t="n"/>
      <c r="CA7" s="341" t="n"/>
      <c r="CB7" s="341" t="n"/>
      <c r="CC7" s="341" t="n"/>
      <c r="CD7" s="341" t="n"/>
      <c r="CE7" s="341" t="n"/>
      <c r="CF7" s="341" t="n"/>
      <c r="CG7" s="341" t="n"/>
      <c r="CH7" s="341" t="n"/>
      <c r="CI7" s="341" t="n"/>
      <c r="CJ7" s="341" t="n"/>
      <c r="CK7" s="341" t="n"/>
      <c r="CL7" s="341" t="n"/>
      <c r="CM7" s="341" t="n"/>
      <c r="CN7" s="341" t="n"/>
      <c r="CO7" s="341" t="n"/>
      <c r="CP7" s="341" t="n"/>
      <c r="CQ7" s="341" t="n"/>
      <c r="CR7" s="341" t="n"/>
      <c r="CS7" s="341" t="n"/>
      <c r="CT7" s="341" t="n"/>
      <c r="CU7" s="341" t="n"/>
      <c r="CV7" s="341" t="n"/>
      <c r="CW7" s="341" t="n"/>
      <c r="CX7" s="341" t="n"/>
      <c r="CY7" s="341" t="n"/>
      <c r="CZ7" s="341" t="n"/>
      <c r="DA7" s="341" t="n"/>
      <c r="DB7" s="341" t="n"/>
      <c r="DC7" s="341" t="n"/>
      <c r="DD7" s="341" t="n"/>
      <c r="DE7" s="341" t="n"/>
      <c r="DF7" s="341" t="n"/>
      <c r="DG7" s="341" t="n"/>
      <c r="DH7" s="341" t="n"/>
      <c r="DI7" s="341" t="n"/>
      <c r="DJ7" s="341" t="n"/>
      <c r="DK7" s="341" t="n"/>
      <c r="DL7" s="341" t="n"/>
      <c r="DM7" s="341" t="n"/>
      <c r="DN7" s="341" t="n"/>
      <c r="DO7" s="341" t="n"/>
      <c r="DP7" s="341" t="n"/>
      <c r="DQ7" s="341" t="n"/>
      <c r="DR7" s="341" t="n"/>
    </row>
    <row r="8" ht="15.75" customHeight="1" s="362">
      <c r="A8" s="179">
        <f>Ventes!A10</f>
        <v/>
      </c>
      <c r="B8" s="180" t="n">
        <v>23</v>
      </c>
      <c r="C8" s="174">
        <f>SUM(F5:Q5)</f>
        <v/>
      </c>
      <c r="D8" s="175">
        <f>indirect(CONCATENATE("Ventes!",D$29,$B$3))</f>
        <v/>
      </c>
      <c r="E8" s="175">
        <f>indirect(CONCATENATE("Ventes!",E$29,$B$3))</f>
        <v/>
      </c>
      <c r="F8" s="175">
        <f>indirect(CONCATENATE("Ventes!",F$29,$B$3))</f>
        <v/>
      </c>
      <c r="G8" s="175">
        <f>indirect(CONCATENATE("Ventes!",G$29,$B$3))</f>
        <v/>
      </c>
      <c r="H8" s="175">
        <f>indirect(CONCATENATE("Ventes!",H$29,$B$3))</f>
        <v/>
      </c>
      <c r="I8" s="175">
        <f>indirect(CONCATENATE("Ventes!",I$29,$B$3))</f>
        <v/>
      </c>
      <c r="J8" s="175">
        <f>indirect(CONCATENATE("Ventes!",J$29,$B$3))</f>
        <v/>
      </c>
      <c r="K8" s="175">
        <f>indirect(CONCATENATE("Ventes!",K$29,$B$3))</f>
        <v/>
      </c>
      <c r="L8" s="175">
        <f>indirect(CONCATENATE("Ventes!",L$29,$B$3))</f>
        <v/>
      </c>
      <c r="M8" s="175">
        <f>indirect(CONCATENATE("Ventes!",M$29,$B$3))</f>
        <v/>
      </c>
      <c r="N8" s="175">
        <f>indirect(CONCATENATE("Ventes!",N$29,$B$3))</f>
        <v/>
      </c>
      <c r="O8" s="175">
        <f>indirect(CONCATENATE("Ventes!",O$29,$B$3))</f>
        <v/>
      </c>
      <c r="P8" s="175">
        <f>indirect(CONCATENATE("Ventes!",P$29,$B$3))</f>
        <v/>
      </c>
      <c r="Q8" s="175">
        <f>indirect(CONCATENATE("Ventes!",Q$29,$B$3))</f>
        <v/>
      </c>
      <c r="R8" s="174">
        <f>SUM(S5:AD5)</f>
        <v/>
      </c>
      <c r="S8" s="175">
        <f>indirect(CONCATENATE("Ventes!",S$29,$B$3))</f>
        <v/>
      </c>
      <c r="T8" s="175">
        <f>indirect(CONCATENATE("Ventes!",T$29,$B$3))</f>
        <v/>
      </c>
      <c r="U8" s="175">
        <f>indirect(CONCATENATE("Ventes!",U$29,$B$3))</f>
        <v/>
      </c>
      <c r="V8" s="175">
        <f>indirect(CONCATENATE("Ventes!",V$29,$B$3))</f>
        <v/>
      </c>
      <c r="W8" s="175">
        <f>indirect(CONCATENATE("Ventes!",W$29,$B$3))</f>
        <v/>
      </c>
      <c r="X8" s="175">
        <f>indirect(CONCATENATE("Ventes!",X$29,$B$3))</f>
        <v/>
      </c>
      <c r="Y8" s="175">
        <f>indirect(CONCATENATE("Ventes!",Y$29,$B$3))</f>
        <v/>
      </c>
      <c r="Z8" s="175">
        <f>indirect(CONCATENATE("Ventes!",Z$29,$B$3))</f>
        <v/>
      </c>
      <c r="AA8" s="175">
        <f>indirect(CONCATENATE("Ventes!",AA$29,$B$3))</f>
        <v/>
      </c>
      <c r="AB8" s="175">
        <f>indirect(CONCATENATE("Ventes!",AB$29,$B$3))</f>
        <v/>
      </c>
      <c r="AC8" s="175">
        <f>indirect(CONCATENATE("Ventes!",AC$29,$B$3))</f>
        <v/>
      </c>
      <c r="AD8" s="175">
        <f>indirect(CONCATENATE("Ventes!",AD$29,$B$3))</f>
        <v/>
      </c>
      <c r="AE8" s="174">
        <f>SUM(AF5:AQ5)</f>
        <v/>
      </c>
      <c r="AF8" s="175">
        <f>indirect(CONCATENATE("Ventes!",AF$29,$B$3))</f>
        <v/>
      </c>
      <c r="AG8" s="175">
        <f>indirect(CONCATENATE("Ventes!",AG$29,$B$3))</f>
        <v/>
      </c>
      <c r="AH8" s="175">
        <f>indirect(CONCATENATE("Ventes!",AH$29,$B$3))</f>
        <v/>
      </c>
      <c r="AI8" s="175">
        <f>indirect(CONCATENATE("Ventes!",AI$29,$B$3))</f>
        <v/>
      </c>
      <c r="AJ8" s="175">
        <f>indirect(CONCATENATE("Ventes!",AJ$29,$B$3))</f>
        <v/>
      </c>
      <c r="AK8" s="175">
        <f>indirect(CONCATENATE("Ventes!",AK$29,$B$3))</f>
        <v/>
      </c>
      <c r="AL8" s="175">
        <f>indirect(CONCATENATE("Ventes!",AL$29,$B$3))</f>
        <v/>
      </c>
      <c r="AM8" s="175">
        <f>indirect(CONCATENATE("Ventes!",AM$29,$B$3))</f>
        <v/>
      </c>
      <c r="AN8" s="175">
        <f>indirect(CONCATENATE("Ventes!",AN$29,$B$3))</f>
        <v/>
      </c>
      <c r="AO8" s="175">
        <f>indirect(CONCATENATE("Ventes!",AO$29,$B$3))</f>
        <v/>
      </c>
      <c r="AP8" s="175">
        <f>indirect(CONCATENATE("Ventes!",AP$29,$B$3))</f>
        <v/>
      </c>
      <c r="AQ8" s="175">
        <f>indirect(CONCATENATE("Ventes!",AQ$29,$B$3))</f>
        <v/>
      </c>
      <c r="AR8" s="174">
        <f>SUM(AS5:BD5)</f>
        <v/>
      </c>
      <c r="AS8" s="175">
        <f>indirect(CONCATENATE("Ventes!",AS$29,$B$3))</f>
        <v/>
      </c>
      <c r="AT8" s="175">
        <f>indirect(CONCATENATE("Ventes!",AT$29,$B$3))</f>
        <v/>
      </c>
      <c r="AU8" s="175">
        <f>indirect(CONCATENATE("Ventes!",AU$29,$B$3))</f>
        <v/>
      </c>
      <c r="AV8" s="175">
        <f>indirect(CONCATENATE("Ventes!",AV$29,$B$3))</f>
        <v/>
      </c>
      <c r="AW8" s="175">
        <f>indirect(CONCATENATE("Ventes!",AW$29,$B$3))</f>
        <v/>
      </c>
      <c r="AX8" s="175">
        <f>indirect(CONCATENATE("Ventes!",AX$29,$B$3))</f>
        <v/>
      </c>
      <c r="AY8" s="175">
        <f>indirect(CONCATENATE("Ventes!",AY$29,$B$3))</f>
        <v/>
      </c>
      <c r="AZ8" s="175">
        <f>indirect(CONCATENATE("Ventes!",AZ$29,$B$3))</f>
        <v/>
      </c>
      <c r="BA8" s="175">
        <f>indirect(CONCATENATE("Ventes!",BA$29,$B$3))</f>
        <v/>
      </c>
      <c r="BB8" s="175">
        <f>indirect(CONCATENATE("Ventes!",BB$29,$B$3))</f>
        <v/>
      </c>
      <c r="BC8" s="175">
        <f>indirect(CONCATENATE("Ventes!",BC$29,$B$3))</f>
        <v/>
      </c>
      <c r="BD8" s="175">
        <f>indirect(CONCATENATE("Ventes!",BD$29,$B$3))</f>
        <v/>
      </c>
      <c r="BE8" s="174">
        <f>SUM(BF5:BQ5)</f>
        <v/>
      </c>
      <c r="BF8" s="175">
        <f>indirect(CONCATENATE("Ventes!",BF$29,$B$3))</f>
        <v/>
      </c>
      <c r="BG8" s="175">
        <f>indirect(CONCATENATE("Ventes!",BG$29,$B$3))</f>
        <v/>
      </c>
      <c r="BH8" s="175">
        <f>indirect(CONCATENATE("Ventes!",BH$29,$B$3))</f>
        <v/>
      </c>
      <c r="BI8" s="175">
        <f>indirect(CONCATENATE("Ventes!",BI$29,$B$3))</f>
        <v/>
      </c>
      <c r="BJ8" s="175">
        <f>indirect(CONCATENATE("Ventes!",BJ$29,$B$3))</f>
        <v/>
      </c>
      <c r="BK8" s="175">
        <f>indirect(CONCATENATE("Ventes!",BK$29,$B$3))</f>
        <v/>
      </c>
      <c r="BL8" s="175">
        <f>indirect(CONCATENATE("Ventes!",BL$29,$B$3))</f>
        <v/>
      </c>
      <c r="BM8" s="175">
        <f>indirect(CONCATENATE("Ventes!",BM$29,$B$3))</f>
        <v/>
      </c>
      <c r="BN8" s="175">
        <f>indirect(CONCATENATE("Ventes!",BN$29,$B$3))</f>
        <v/>
      </c>
      <c r="BO8" s="175">
        <f>indirect(CONCATENATE("Ventes!",BO$29,$B$3))</f>
        <v/>
      </c>
      <c r="BP8" s="175">
        <f>indirect(CONCATENATE("Ventes!",BP$29,$B$3))</f>
        <v/>
      </c>
      <c r="BQ8" s="175">
        <f>indirect(CONCATENATE("Ventes!",BQ$29,$B$3))</f>
        <v/>
      </c>
      <c r="BR8" s="175" t="n"/>
      <c r="BS8" s="341" t="n"/>
      <c r="BT8" s="341" t="n"/>
      <c r="BU8" s="341" t="n"/>
      <c r="BV8" s="341" t="n"/>
      <c r="BW8" s="341" t="n"/>
      <c r="BX8" s="341" t="n"/>
      <c r="BY8" s="341" t="n"/>
      <c r="BZ8" s="341" t="n"/>
      <c r="CA8" s="341" t="n"/>
      <c r="CB8" s="341" t="n"/>
      <c r="CC8" s="341" t="n"/>
      <c r="CD8" s="341" t="n"/>
      <c r="CE8" s="341" t="n"/>
      <c r="CF8" s="341" t="n"/>
      <c r="CG8" s="341" t="n"/>
      <c r="CH8" s="341" t="n"/>
      <c r="CI8" s="341" t="n"/>
      <c r="CJ8" s="341" t="n"/>
      <c r="CK8" s="341" t="n"/>
      <c r="CL8" s="341" t="n"/>
      <c r="CM8" s="341" t="n"/>
      <c r="CN8" s="341" t="n"/>
      <c r="CO8" s="341" t="n"/>
      <c r="CP8" s="341" t="n"/>
      <c r="CQ8" s="341" t="n"/>
      <c r="CR8" s="341" t="n"/>
      <c r="CS8" s="341" t="n"/>
      <c r="CT8" s="341" t="n"/>
      <c r="CU8" s="341" t="n"/>
      <c r="CV8" s="341" t="n"/>
      <c r="CW8" s="341" t="n"/>
      <c r="CX8" s="341" t="n"/>
      <c r="CY8" s="341" t="n"/>
      <c r="CZ8" s="341" t="n"/>
      <c r="DA8" s="341" t="n"/>
      <c r="DB8" s="341" t="n"/>
      <c r="DC8" s="341" t="n"/>
      <c r="DD8" s="341" t="n"/>
      <c r="DE8" s="341" t="n"/>
      <c r="DF8" s="341" t="n"/>
      <c r="DG8" s="341" t="n"/>
      <c r="DH8" s="341" t="n"/>
      <c r="DI8" s="341" t="n"/>
      <c r="DJ8" s="341" t="n"/>
      <c r="DK8" s="341" t="n"/>
      <c r="DL8" s="341" t="n"/>
      <c r="DM8" s="341" t="n"/>
      <c r="DN8" s="341" t="n"/>
      <c r="DO8" s="341" t="n"/>
      <c r="DP8" s="341" t="n"/>
      <c r="DQ8" s="341" t="n"/>
      <c r="DR8" s="341" t="n"/>
    </row>
    <row r="9" ht="15.75" customHeight="1" s="362">
      <c r="A9" s="179">
        <f>Ventes!A24</f>
        <v/>
      </c>
      <c r="B9" s="180" t="n">
        <v>26</v>
      </c>
      <c r="C9" s="174">
        <f>SUM(F6:Q6)</f>
        <v/>
      </c>
      <c r="D9" s="175">
        <f>indirect(CONCATENATE("Ventes!",D$29,$B$3))</f>
        <v/>
      </c>
      <c r="E9" s="175">
        <f>indirect(CONCATENATE("Ventes!",E$29,$B$3))</f>
        <v/>
      </c>
      <c r="F9" s="175">
        <f>indirect(CONCATENATE("Ventes!",F$29,$B$3))</f>
        <v/>
      </c>
      <c r="G9" s="175">
        <f>indirect(CONCATENATE("Ventes!",G$29,$B$3))</f>
        <v/>
      </c>
      <c r="H9" s="175">
        <f>indirect(CONCATENATE("Ventes!",H$29,$B$3))</f>
        <v/>
      </c>
      <c r="I9" s="175">
        <f>indirect(CONCATENATE("Ventes!",I$29,$B$3))</f>
        <v/>
      </c>
      <c r="J9" s="175">
        <f>indirect(CONCATENATE("Ventes!",J$29,$B$3))</f>
        <v/>
      </c>
      <c r="K9" s="175">
        <f>indirect(CONCATENATE("Ventes!",K$29,$B$3))</f>
        <v/>
      </c>
      <c r="L9" s="175">
        <f>indirect(CONCATENATE("Ventes!",L$29,$B$3))</f>
        <v/>
      </c>
      <c r="M9" s="175">
        <f>indirect(CONCATENATE("Ventes!",M$29,$B$3))</f>
        <v/>
      </c>
      <c r="N9" s="175">
        <f>indirect(CONCATENATE("Ventes!",N$29,$B$3))</f>
        <v/>
      </c>
      <c r="O9" s="175">
        <f>indirect(CONCATENATE("Ventes!",O$29,$B$3))</f>
        <v/>
      </c>
      <c r="P9" s="175">
        <f>indirect(CONCATENATE("Ventes!",P$29,$B$3))</f>
        <v/>
      </c>
      <c r="Q9" s="175">
        <f>indirect(CONCATENATE("Ventes!",Q$29,$B$3))</f>
        <v/>
      </c>
      <c r="R9" s="174">
        <f>SUM(S6:AD6)</f>
        <v/>
      </c>
      <c r="S9" s="175">
        <f>indirect(CONCATENATE("Ventes!",S$29,$B$3))</f>
        <v/>
      </c>
      <c r="T9" s="175">
        <f>indirect(CONCATENATE("Ventes!",T$29,$B$3))</f>
        <v/>
      </c>
      <c r="U9" s="175">
        <f>indirect(CONCATENATE("Ventes!",U$29,$B$3))</f>
        <v/>
      </c>
      <c r="V9" s="175">
        <f>indirect(CONCATENATE("Ventes!",V$29,$B$3))</f>
        <v/>
      </c>
      <c r="W9" s="175">
        <f>indirect(CONCATENATE("Ventes!",W$29,$B$3))</f>
        <v/>
      </c>
      <c r="X9" s="175">
        <f>indirect(CONCATENATE("Ventes!",X$29,$B$3))</f>
        <v/>
      </c>
      <c r="Y9" s="175">
        <f>indirect(CONCATENATE("Ventes!",Y$29,$B$3))</f>
        <v/>
      </c>
      <c r="Z9" s="175">
        <f>indirect(CONCATENATE("Ventes!",Z$29,$B$3))</f>
        <v/>
      </c>
      <c r="AA9" s="175">
        <f>indirect(CONCATENATE("Ventes!",AA$29,$B$3))</f>
        <v/>
      </c>
      <c r="AB9" s="175">
        <f>indirect(CONCATENATE("Ventes!",AB$29,$B$3))</f>
        <v/>
      </c>
      <c r="AC9" s="175">
        <f>indirect(CONCATENATE("Ventes!",AC$29,$B$3))</f>
        <v/>
      </c>
      <c r="AD9" s="175">
        <f>indirect(CONCATENATE("Ventes!",AD$29,$B$3))</f>
        <v/>
      </c>
      <c r="AE9" s="174">
        <f>SUM(AF6:AQ6)</f>
        <v/>
      </c>
      <c r="AF9" s="175">
        <f>indirect(CONCATENATE("Ventes!",AF$29,$B$3))</f>
        <v/>
      </c>
      <c r="AG9" s="175">
        <f>indirect(CONCATENATE("Ventes!",AG$29,$B$3))</f>
        <v/>
      </c>
      <c r="AH9" s="175">
        <f>indirect(CONCATENATE("Ventes!",AH$29,$B$3))</f>
        <v/>
      </c>
      <c r="AI9" s="175">
        <f>indirect(CONCATENATE("Ventes!",AI$29,$B$3))</f>
        <v/>
      </c>
      <c r="AJ9" s="175">
        <f>indirect(CONCATENATE("Ventes!",AJ$29,$B$3))</f>
        <v/>
      </c>
      <c r="AK9" s="175">
        <f>indirect(CONCATENATE("Ventes!",AK$29,$B$3))</f>
        <v/>
      </c>
      <c r="AL9" s="175">
        <f>indirect(CONCATENATE("Ventes!",AL$29,$B$3))</f>
        <v/>
      </c>
      <c r="AM9" s="175">
        <f>indirect(CONCATENATE("Ventes!",AM$29,$B$3))</f>
        <v/>
      </c>
      <c r="AN9" s="175">
        <f>indirect(CONCATENATE("Ventes!",AN$29,$B$3))</f>
        <v/>
      </c>
      <c r="AO9" s="175">
        <f>indirect(CONCATENATE("Ventes!",AO$29,$B$3))</f>
        <v/>
      </c>
      <c r="AP9" s="175">
        <f>indirect(CONCATENATE("Ventes!",AP$29,$B$3))</f>
        <v/>
      </c>
      <c r="AQ9" s="175">
        <f>indirect(CONCATENATE("Ventes!",AQ$29,$B$3))</f>
        <v/>
      </c>
      <c r="AR9" s="174">
        <f>SUM(AS6:BD6)</f>
        <v/>
      </c>
      <c r="AS9" s="175">
        <f>indirect(CONCATENATE("Ventes!",AS$29,$B$3))</f>
        <v/>
      </c>
      <c r="AT9" s="175">
        <f>indirect(CONCATENATE("Ventes!",AT$29,$B$3))</f>
        <v/>
      </c>
      <c r="AU9" s="175">
        <f>indirect(CONCATENATE("Ventes!",AU$29,$B$3))</f>
        <v/>
      </c>
      <c r="AV9" s="175">
        <f>indirect(CONCATENATE("Ventes!",AV$29,$B$3))</f>
        <v/>
      </c>
      <c r="AW9" s="175">
        <f>indirect(CONCATENATE("Ventes!",AW$29,$B$3))</f>
        <v/>
      </c>
      <c r="AX9" s="175">
        <f>indirect(CONCATENATE("Ventes!",AX$29,$B$3))</f>
        <v/>
      </c>
      <c r="AY9" s="175">
        <f>indirect(CONCATENATE("Ventes!",AY$29,$B$3))</f>
        <v/>
      </c>
      <c r="AZ9" s="175">
        <f>indirect(CONCATENATE("Ventes!",AZ$29,$B$3))</f>
        <v/>
      </c>
      <c r="BA9" s="175">
        <f>indirect(CONCATENATE("Ventes!",BA$29,$B$3))</f>
        <v/>
      </c>
      <c r="BB9" s="175">
        <f>indirect(CONCATENATE("Ventes!",BB$29,$B$3))</f>
        <v/>
      </c>
      <c r="BC9" s="175">
        <f>indirect(CONCATENATE("Ventes!",BC$29,$B$3))</f>
        <v/>
      </c>
      <c r="BD9" s="175">
        <f>indirect(CONCATENATE("Ventes!",BD$29,$B$3))</f>
        <v/>
      </c>
      <c r="BE9" s="174">
        <f>SUM(BF6:BQ6)</f>
        <v/>
      </c>
      <c r="BF9" s="175">
        <f>indirect(CONCATENATE("Ventes!",BF$29,$B$3))</f>
        <v/>
      </c>
      <c r="BG9" s="175">
        <f>indirect(CONCATENATE("Ventes!",BG$29,$B$3))</f>
        <v/>
      </c>
      <c r="BH9" s="175">
        <f>indirect(CONCATENATE("Ventes!",BH$29,$B$3))</f>
        <v/>
      </c>
      <c r="BI9" s="175">
        <f>indirect(CONCATENATE("Ventes!",BI$29,$B$3))</f>
        <v/>
      </c>
      <c r="BJ9" s="175">
        <f>indirect(CONCATENATE("Ventes!",BJ$29,$B$3))</f>
        <v/>
      </c>
      <c r="BK9" s="175">
        <f>indirect(CONCATENATE("Ventes!",BK$29,$B$3))</f>
        <v/>
      </c>
      <c r="BL9" s="175">
        <f>indirect(CONCATENATE("Ventes!",BL$29,$B$3))</f>
        <v/>
      </c>
      <c r="BM9" s="175">
        <f>indirect(CONCATENATE("Ventes!",BM$29,$B$3))</f>
        <v/>
      </c>
      <c r="BN9" s="175">
        <f>indirect(CONCATENATE("Ventes!",BN$29,$B$3))</f>
        <v/>
      </c>
      <c r="BO9" s="175">
        <f>indirect(CONCATENATE("Ventes!",BO$29,$B$3))</f>
        <v/>
      </c>
      <c r="BP9" s="175">
        <f>indirect(CONCATENATE("Ventes!",BP$29,$B$3))</f>
        <v/>
      </c>
      <c r="BQ9" s="175">
        <f>indirect(CONCATENATE("Ventes!",BQ$29,$B$3))</f>
        <v/>
      </c>
      <c r="BR9" s="175" t="n"/>
      <c r="BS9" s="341" t="n"/>
      <c r="BT9" s="341" t="n"/>
      <c r="BU9" s="341" t="n"/>
      <c r="BV9" s="341" t="n"/>
      <c r="BW9" s="341" t="n"/>
      <c r="BX9" s="341" t="n"/>
      <c r="BY9" s="341" t="n"/>
      <c r="BZ9" s="341" t="n"/>
      <c r="CA9" s="341" t="n"/>
      <c r="CB9" s="341" t="n"/>
      <c r="CC9" s="341" t="n"/>
      <c r="CD9" s="341" t="n"/>
      <c r="CE9" s="341" t="n"/>
      <c r="CF9" s="341" t="n"/>
      <c r="CG9" s="341" t="n"/>
      <c r="CH9" s="341" t="n"/>
      <c r="CI9" s="341" t="n"/>
      <c r="CJ9" s="341" t="n"/>
      <c r="CK9" s="341" t="n"/>
      <c r="CL9" s="341" t="n"/>
      <c r="CM9" s="341" t="n"/>
      <c r="CN9" s="341" t="n"/>
      <c r="CO9" s="341" t="n"/>
      <c r="CP9" s="341" t="n"/>
      <c r="CQ9" s="341" t="n"/>
      <c r="CR9" s="341" t="n"/>
      <c r="CS9" s="341" t="n"/>
      <c r="CT9" s="341" t="n"/>
      <c r="CU9" s="341" t="n"/>
      <c r="CV9" s="341" t="n"/>
      <c r="CW9" s="341" t="n"/>
      <c r="CX9" s="341" t="n"/>
      <c r="CY9" s="341" t="n"/>
      <c r="CZ9" s="341" t="n"/>
      <c r="DA9" s="341" t="n"/>
      <c r="DB9" s="341" t="n"/>
      <c r="DC9" s="341" t="n"/>
      <c r="DD9" s="341" t="n"/>
      <c r="DE9" s="341" t="n"/>
      <c r="DF9" s="341" t="n"/>
      <c r="DG9" s="341" t="n"/>
      <c r="DH9" s="341" t="n"/>
      <c r="DI9" s="341" t="n"/>
      <c r="DJ9" s="341" t="n"/>
      <c r="DK9" s="341" t="n"/>
      <c r="DL9" s="341" t="n"/>
      <c r="DM9" s="341" t="n"/>
      <c r="DN9" s="341" t="n"/>
      <c r="DO9" s="341" t="n"/>
      <c r="DP9" s="341" t="n"/>
      <c r="DQ9" s="341" t="n"/>
      <c r="DR9" s="341" t="n"/>
    </row>
    <row r="10" ht="15.75" customHeight="1" s="362">
      <c r="A10" s="179">
        <f>Ventes!A27</f>
        <v/>
      </c>
      <c r="B10" s="324" t="n">
        <v>30</v>
      </c>
      <c r="C10" s="174">
        <f>SUM(F7:Q7)</f>
        <v/>
      </c>
      <c r="D10" s="175">
        <f>indirect(CONCATENATE("Ventes!",D$29,$B$3))</f>
        <v/>
      </c>
      <c r="E10" s="175">
        <f>indirect(CONCATENATE("Ventes!",E$29,$B$3))</f>
        <v/>
      </c>
      <c r="F10" s="175">
        <f>indirect(CONCATENATE("Ventes!",F$29,$B$3))</f>
        <v/>
      </c>
      <c r="G10" s="175">
        <f>indirect(CONCATENATE("Ventes!",G$29,$B$3))</f>
        <v/>
      </c>
      <c r="H10" s="175">
        <f>indirect(CONCATENATE("Ventes!",H$29,$B$3))</f>
        <v/>
      </c>
      <c r="I10" s="175">
        <f>indirect(CONCATENATE("Ventes!",I$29,$B$3))</f>
        <v/>
      </c>
      <c r="J10" s="175">
        <f>indirect(CONCATENATE("Ventes!",J$29,$B$3))</f>
        <v/>
      </c>
      <c r="K10" s="175">
        <f>indirect(CONCATENATE("Ventes!",K$29,$B$3))</f>
        <v/>
      </c>
      <c r="L10" s="175">
        <f>indirect(CONCATENATE("Ventes!",L$29,$B$3))</f>
        <v/>
      </c>
      <c r="M10" s="175">
        <f>indirect(CONCATENATE("Ventes!",M$29,$B$3))</f>
        <v/>
      </c>
      <c r="N10" s="175">
        <f>indirect(CONCATENATE("Ventes!",N$29,$B$3))</f>
        <v/>
      </c>
      <c r="O10" s="175">
        <f>indirect(CONCATENATE("Ventes!",O$29,$B$3))</f>
        <v/>
      </c>
      <c r="P10" s="175">
        <f>indirect(CONCATENATE("Ventes!",P$29,$B$3))</f>
        <v/>
      </c>
      <c r="Q10" s="175">
        <f>indirect(CONCATENATE("Ventes!",Q$29,$B$3))</f>
        <v/>
      </c>
      <c r="R10" s="174">
        <f>SUM(S7:AD7)</f>
        <v/>
      </c>
      <c r="S10" s="175">
        <f>indirect(CONCATENATE("Ventes!",S$29,$B$3))</f>
        <v/>
      </c>
      <c r="T10" s="175">
        <f>indirect(CONCATENATE("Ventes!",T$29,$B$3))</f>
        <v/>
      </c>
      <c r="U10" s="175">
        <f>indirect(CONCATENATE("Ventes!",U$29,$B$3))</f>
        <v/>
      </c>
      <c r="V10" s="175">
        <f>indirect(CONCATENATE("Ventes!",V$29,$B$3))</f>
        <v/>
      </c>
      <c r="W10" s="175">
        <f>indirect(CONCATENATE("Ventes!",W$29,$B$3))</f>
        <v/>
      </c>
      <c r="X10" s="175">
        <f>indirect(CONCATENATE("Ventes!",X$29,$B$3))</f>
        <v/>
      </c>
      <c r="Y10" s="175">
        <f>indirect(CONCATENATE("Ventes!",Y$29,$B$3))</f>
        <v/>
      </c>
      <c r="Z10" s="175">
        <f>indirect(CONCATENATE("Ventes!",Z$29,$B$3))</f>
        <v/>
      </c>
      <c r="AA10" s="175">
        <f>indirect(CONCATENATE("Ventes!",AA$29,$B$3))</f>
        <v/>
      </c>
      <c r="AB10" s="175">
        <f>indirect(CONCATENATE("Ventes!",AB$29,$B$3))</f>
        <v/>
      </c>
      <c r="AC10" s="175">
        <f>indirect(CONCATENATE("Ventes!",AC$29,$B$3))</f>
        <v/>
      </c>
      <c r="AD10" s="175">
        <f>indirect(CONCATENATE("Ventes!",AD$29,$B$3))</f>
        <v/>
      </c>
      <c r="AE10" s="174">
        <f>SUM(AF7:AQ7)</f>
        <v/>
      </c>
      <c r="AF10" s="175">
        <f>indirect(CONCATENATE("Ventes!",AF$29,$B$3))</f>
        <v/>
      </c>
      <c r="AG10" s="175">
        <f>indirect(CONCATENATE("Ventes!",AG$29,$B$3))</f>
        <v/>
      </c>
      <c r="AH10" s="175">
        <f>indirect(CONCATENATE("Ventes!",AH$29,$B$3))</f>
        <v/>
      </c>
      <c r="AI10" s="175">
        <f>indirect(CONCATENATE("Ventes!",AI$29,$B$3))</f>
        <v/>
      </c>
      <c r="AJ10" s="175">
        <f>indirect(CONCATENATE("Ventes!",AJ$29,$B$3))</f>
        <v/>
      </c>
      <c r="AK10" s="175">
        <f>indirect(CONCATENATE("Ventes!",AK$29,$B$3))</f>
        <v/>
      </c>
      <c r="AL10" s="175">
        <f>indirect(CONCATENATE("Ventes!",AL$29,$B$3))</f>
        <v/>
      </c>
      <c r="AM10" s="175">
        <f>indirect(CONCATENATE("Ventes!",AM$29,$B$3))</f>
        <v/>
      </c>
      <c r="AN10" s="175">
        <f>indirect(CONCATENATE("Ventes!",AN$29,$B$3))</f>
        <v/>
      </c>
      <c r="AO10" s="175">
        <f>indirect(CONCATENATE("Ventes!",AO$29,$B$3))</f>
        <v/>
      </c>
      <c r="AP10" s="175">
        <f>indirect(CONCATENATE("Ventes!",AP$29,$B$3))</f>
        <v/>
      </c>
      <c r="AQ10" s="175">
        <f>indirect(CONCATENATE("Ventes!",AQ$29,$B$3))</f>
        <v/>
      </c>
      <c r="AR10" s="174">
        <f>SUM(AS7:BD7)</f>
        <v/>
      </c>
      <c r="AS10" s="175">
        <f>indirect(CONCATENATE("Ventes!",AS$29,$B$3))</f>
        <v/>
      </c>
      <c r="AT10" s="175">
        <f>indirect(CONCATENATE("Ventes!",AT$29,$B$3))</f>
        <v/>
      </c>
      <c r="AU10" s="175">
        <f>indirect(CONCATENATE("Ventes!",AU$29,$B$3))</f>
        <v/>
      </c>
      <c r="AV10" s="175">
        <f>indirect(CONCATENATE("Ventes!",AV$29,$B$3))</f>
        <v/>
      </c>
      <c r="AW10" s="175">
        <f>indirect(CONCATENATE("Ventes!",AW$29,$B$3))</f>
        <v/>
      </c>
      <c r="AX10" s="175">
        <f>indirect(CONCATENATE("Ventes!",AX$29,$B$3))</f>
        <v/>
      </c>
      <c r="AY10" s="175">
        <f>indirect(CONCATENATE("Ventes!",AY$29,$B$3))</f>
        <v/>
      </c>
      <c r="AZ10" s="175">
        <f>indirect(CONCATENATE("Ventes!",AZ$29,$B$3))</f>
        <v/>
      </c>
      <c r="BA10" s="175">
        <f>indirect(CONCATENATE("Ventes!",BA$29,$B$3))</f>
        <v/>
      </c>
      <c r="BB10" s="175">
        <f>indirect(CONCATENATE("Ventes!",BB$29,$B$3))</f>
        <v/>
      </c>
      <c r="BC10" s="175">
        <f>indirect(CONCATENATE("Ventes!",BC$29,$B$3))</f>
        <v/>
      </c>
      <c r="BD10" s="175">
        <f>indirect(CONCATENATE("Ventes!",BD$29,$B$3))</f>
        <v/>
      </c>
      <c r="BE10" s="174">
        <f>SUM(BF7:BQ7)</f>
        <v/>
      </c>
      <c r="BF10" s="175">
        <f>indirect(CONCATENATE("Ventes!",BF$29,$B$3))</f>
        <v/>
      </c>
      <c r="BG10" s="175">
        <f>indirect(CONCATENATE("Ventes!",BG$29,$B$3))</f>
        <v/>
      </c>
      <c r="BH10" s="175">
        <f>indirect(CONCATENATE("Ventes!",BH$29,$B$3))</f>
        <v/>
      </c>
      <c r="BI10" s="175">
        <f>indirect(CONCATENATE("Ventes!",BI$29,$B$3))</f>
        <v/>
      </c>
      <c r="BJ10" s="175">
        <f>indirect(CONCATENATE("Ventes!",BJ$29,$B$3))</f>
        <v/>
      </c>
      <c r="BK10" s="175">
        <f>indirect(CONCATENATE("Ventes!",BK$29,$B$3))</f>
        <v/>
      </c>
      <c r="BL10" s="175">
        <f>indirect(CONCATENATE("Ventes!",BL$29,$B$3))</f>
        <v/>
      </c>
      <c r="BM10" s="175">
        <f>indirect(CONCATENATE("Ventes!",BM$29,$B$3))</f>
        <v/>
      </c>
      <c r="BN10" s="175">
        <f>indirect(CONCATENATE("Ventes!",BN$29,$B$3))</f>
        <v/>
      </c>
      <c r="BO10" s="175">
        <f>indirect(CONCATENATE("Ventes!",BO$29,$B$3))</f>
        <v/>
      </c>
      <c r="BP10" s="175">
        <f>indirect(CONCATENATE("Ventes!",BP$29,$B$3))</f>
        <v/>
      </c>
      <c r="BQ10" s="175">
        <f>indirect(CONCATENATE("Ventes!",BQ$29,$B$3))</f>
        <v/>
      </c>
      <c r="BR10" s="175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341" t="n"/>
      <c r="B11" s="180" t="n"/>
      <c r="C11" s="174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4" t="n"/>
      <c r="S11" s="175" t="n"/>
      <c r="T11" s="175" t="n"/>
      <c r="U11" s="175" t="n"/>
      <c r="V11" s="175" t="n"/>
      <c r="W11" s="175" t="n"/>
      <c r="X11" s="175" t="n"/>
      <c r="Y11" s="175" t="n"/>
      <c r="Z11" s="175" t="n"/>
      <c r="AA11" s="175" t="n"/>
      <c r="AB11" s="175" t="n"/>
      <c r="AC11" s="175" t="n"/>
      <c r="AD11" s="175" t="n"/>
      <c r="AE11" s="174" t="n"/>
      <c r="AF11" s="175" t="n"/>
      <c r="AG11" s="175" t="n"/>
      <c r="AH11" s="175" t="n"/>
      <c r="AI11" s="175" t="n"/>
      <c r="AJ11" s="175" t="n"/>
      <c r="AK11" s="175" t="n"/>
      <c r="AL11" s="175" t="n"/>
      <c r="AM11" s="175" t="n"/>
      <c r="AN11" s="175" t="n"/>
      <c r="AO11" s="175" t="n"/>
      <c r="AP11" s="175" t="n"/>
      <c r="AQ11" s="175" t="n"/>
      <c r="AR11" s="174" t="n"/>
      <c r="AS11" s="175" t="n"/>
      <c r="AT11" s="175" t="n"/>
      <c r="AU11" s="175" t="n"/>
      <c r="AV11" s="175" t="n"/>
      <c r="AW11" s="175" t="n"/>
      <c r="AX11" s="175" t="n"/>
      <c r="AY11" s="175" t="n"/>
      <c r="AZ11" s="175" t="n"/>
      <c r="BA11" s="175" t="n"/>
      <c r="BB11" s="175" t="n"/>
      <c r="BC11" s="175" t="n"/>
      <c r="BD11" s="175" t="n"/>
      <c r="BE11" s="174" t="n"/>
      <c r="BF11" s="341">
        <f>Ventes!BF6</f>
        <v/>
      </c>
      <c r="BG11" s="341">
        <f>Ventes!BG6</f>
        <v/>
      </c>
      <c r="BH11" s="341">
        <f>Ventes!BH6</f>
        <v/>
      </c>
      <c r="BI11" s="341">
        <f>Ventes!BI6</f>
        <v/>
      </c>
      <c r="BJ11" s="341">
        <f>Ventes!BJ6</f>
        <v/>
      </c>
      <c r="BK11" s="341">
        <f>Ventes!BK6</f>
        <v/>
      </c>
      <c r="BL11" s="341">
        <f>Ventes!BL6</f>
        <v/>
      </c>
      <c r="BM11" s="341">
        <f>Ventes!BM6</f>
        <v/>
      </c>
      <c r="BN11" s="341">
        <f>Ventes!BN6</f>
        <v/>
      </c>
      <c r="BO11" s="341">
        <f>Ventes!BO6</f>
        <v/>
      </c>
      <c r="BP11" s="341">
        <f>Ventes!BP6</f>
        <v/>
      </c>
      <c r="BQ11" s="341">
        <f>Ventes!BQ6</f>
        <v/>
      </c>
      <c r="BR11" s="180" t="n"/>
      <c r="BS11" s="180" t="n"/>
      <c r="BT11" s="181" t="n"/>
      <c r="BU11" s="181" t="n"/>
      <c r="BV11" s="181" t="n"/>
      <c r="BW11" s="181" t="n"/>
      <c r="BX11" s="181" t="n"/>
      <c r="BY11" s="181" t="n"/>
      <c r="BZ11" s="181" t="n"/>
      <c r="CA11" s="181" t="n"/>
      <c r="CB11" s="181" t="n"/>
      <c r="CC11" s="181" t="n"/>
      <c r="CD11" s="181" t="n"/>
      <c r="CE11" s="181" t="n"/>
      <c r="CF11" s="181" t="n"/>
      <c r="CG11" s="181" t="n"/>
      <c r="CH11" s="181" t="n"/>
      <c r="CI11" s="181" t="n"/>
      <c r="CJ11" s="181" t="n"/>
      <c r="CK11" s="181" t="n"/>
      <c r="CL11" s="181" t="n"/>
      <c r="CM11" s="181" t="n"/>
      <c r="CN11" s="181" t="n"/>
      <c r="CO11" s="181" t="n"/>
      <c r="CP11" s="181" t="n"/>
      <c r="CQ11" s="181" t="n"/>
      <c r="CR11" s="181" t="n"/>
      <c r="CS11" s="181" t="n"/>
      <c r="CT11" s="181" t="n"/>
      <c r="CU11" s="181" t="n"/>
      <c r="CV11" s="181" t="n"/>
      <c r="CW11" s="181" t="n"/>
      <c r="CX11" s="181" t="n"/>
      <c r="CY11" s="181" t="n"/>
      <c r="CZ11" s="181" t="n"/>
      <c r="DA11" s="181" t="n"/>
      <c r="DB11" s="181" t="n"/>
      <c r="DC11" s="181" t="n"/>
      <c r="DD11" s="181" t="n"/>
      <c r="DE11" s="181" t="n"/>
      <c r="DF11" s="181" t="n"/>
      <c r="DG11" s="181" t="n"/>
      <c r="DH11" s="181" t="n"/>
      <c r="DI11" s="181" t="n"/>
      <c r="DJ11" s="181" t="n"/>
      <c r="DK11" s="181" t="n"/>
      <c r="DL11" s="181" t="n"/>
      <c r="DM11" s="181" t="n"/>
      <c r="DN11" s="181" t="n"/>
      <c r="DO11" s="181" t="n"/>
      <c r="DP11" s="181" t="n"/>
      <c r="DQ11" s="181" t="n"/>
      <c r="DR11" s="181" t="n"/>
    </row>
    <row r="12" ht="15.75" customHeight="1" s="362">
      <c r="A12" s="170" t="inlineStr">
        <is>
          <t>DEPENSES OPERATIONNELLES</t>
        </is>
      </c>
      <c r="B12" s="181" t="n"/>
      <c r="C12" s="182">
        <f>C10+C11+C12+C13</f>
        <v/>
      </c>
      <c r="D12" s="182" t="n"/>
      <c r="E12" s="182" t="n"/>
      <c r="F12" s="182">
        <f>F10+F11+F12+F13</f>
        <v/>
      </c>
      <c r="G12" s="182">
        <f>G10+G11+G12+G13</f>
        <v/>
      </c>
      <c r="H12" s="182">
        <f>H10+H11+H12+H13</f>
        <v/>
      </c>
      <c r="I12" s="182">
        <f>I10+I11+I12+I13</f>
        <v/>
      </c>
      <c r="J12" s="182">
        <f>J10+J11+J12+J13</f>
        <v/>
      </c>
      <c r="K12" s="182">
        <f>K10+K11+K12+K13</f>
        <v/>
      </c>
      <c r="L12" s="182">
        <f>L10+L11+L12+L13</f>
        <v/>
      </c>
      <c r="M12" s="182">
        <f>M10+M11+M12+M13</f>
        <v/>
      </c>
      <c r="N12" s="182">
        <f>N10+N11+N12+N13</f>
        <v/>
      </c>
      <c r="O12" s="182">
        <f>O10+O11+O12+O13</f>
        <v/>
      </c>
      <c r="P12" s="182">
        <f>P10+P11+P12+P13</f>
        <v/>
      </c>
      <c r="Q12" s="182">
        <f>Q10+Q11+Q12+Q13</f>
        <v/>
      </c>
      <c r="R12" s="182">
        <f>R10+R11+R12+R13</f>
        <v/>
      </c>
      <c r="S12" s="182">
        <f>S10+S11+S12+S13</f>
        <v/>
      </c>
      <c r="T12" s="182">
        <f>T10+T11+T12+T13</f>
        <v/>
      </c>
      <c r="U12" s="182">
        <f>U10+U11+U12+U13</f>
        <v/>
      </c>
      <c r="V12" s="182">
        <f>V10+V11+V12+V13</f>
        <v/>
      </c>
      <c r="W12" s="182">
        <f>W10+W11+W12+W13</f>
        <v/>
      </c>
      <c r="X12" s="182">
        <f>X10+X11+X12+X13</f>
        <v/>
      </c>
      <c r="Y12" s="182">
        <f>Y10+Y11+Y12+Y13</f>
        <v/>
      </c>
      <c r="Z12" s="182">
        <f>Z10+Z11+Z12+Z13</f>
        <v/>
      </c>
      <c r="AA12" s="182">
        <f>AA10+AA11+AA12+AA13</f>
        <v/>
      </c>
      <c r="AB12" s="182">
        <f>AB10+AB11+AB12+AB13</f>
        <v/>
      </c>
      <c r="AC12" s="182">
        <f>AC10+AC11+AC12+AC13</f>
        <v/>
      </c>
      <c r="AD12" s="182">
        <f>AD10+AD11+AD12+AD13</f>
        <v/>
      </c>
      <c r="AE12" s="182">
        <f>AE10+AE11+AE12+AE13</f>
        <v/>
      </c>
      <c r="AF12" s="182">
        <f>AF10+AF11+AF12+AF13</f>
        <v/>
      </c>
      <c r="AG12" s="182">
        <f>AG10+AG11+AG12+AG13</f>
        <v/>
      </c>
      <c r="AH12" s="182">
        <f>AH10+AH11+AH12+AH13</f>
        <v/>
      </c>
      <c r="AI12" s="182">
        <f>AI10+AI11+AI12+AI13</f>
        <v/>
      </c>
      <c r="AJ12" s="182">
        <f>AJ10+AJ11+AJ12+AJ13</f>
        <v/>
      </c>
      <c r="AK12" s="182">
        <f>AK10+AK11+AK12+AK13</f>
        <v/>
      </c>
      <c r="AL12" s="182">
        <f>AL10+AL11+AL12+AL13</f>
        <v/>
      </c>
      <c r="AM12" s="182">
        <f>AM10+AM11+AM12+AM13</f>
        <v/>
      </c>
      <c r="AN12" s="182">
        <f>AN10+AN11+AN12+AN13</f>
        <v/>
      </c>
      <c r="AO12" s="182">
        <f>AO10+AO11+AO12+AO13</f>
        <v/>
      </c>
      <c r="AP12" s="182">
        <f>AP10+AP11+AP12+AP13</f>
        <v/>
      </c>
      <c r="AQ12" s="182">
        <f>AQ10+AQ11+AQ12+AQ13</f>
        <v/>
      </c>
      <c r="AR12" s="182">
        <f>AR10+AR11+AR12+AR13</f>
        <v/>
      </c>
      <c r="AS12" s="182">
        <f>AS10+AS11+AS12+AS13</f>
        <v/>
      </c>
      <c r="AT12" s="182">
        <f>AT10+AT11+AT12+AT13</f>
        <v/>
      </c>
      <c r="AU12" s="182">
        <f>AU10+AU11+AU12+AU13</f>
        <v/>
      </c>
      <c r="AV12" s="182">
        <f>AV10+AV11+AV12+AV13</f>
        <v/>
      </c>
      <c r="AW12" s="182">
        <f>AW10+AW11+AW12+AW13</f>
        <v/>
      </c>
      <c r="AX12" s="182">
        <f>AX10+AX11+AX12+AX13</f>
        <v/>
      </c>
      <c r="AY12" s="182">
        <f>AY10+AY11+AY12+AY13</f>
        <v/>
      </c>
      <c r="AZ12" s="182">
        <f>AZ10+AZ11+AZ12+AZ13</f>
        <v/>
      </c>
      <c r="BA12" s="182">
        <f>BA10+BA11+BA12+BA13</f>
        <v/>
      </c>
      <c r="BB12" s="182">
        <f>BB10+BB11+BB12+BB13</f>
        <v/>
      </c>
      <c r="BC12" s="182">
        <f>BC10+BC11+BC12+BC13</f>
        <v/>
      </c>
      <c r="BD12" s="182">
        <f>BD10+BD11+BD12+BD13</f>
        <v/>
      </c>
      <c r="BE12" s="182">
        <f>BE10+BE11+BE12+BE13</f>
        <v/>
      </c>
      <c r="BF12" s="182">
        <f>BF10+BF11+BF12+BF13</f>
        <v/>
      </c>
      <c r="BG12" s="182">
        <f>BG10+BG11+BG12+BG13</f>
        <v/>
      </c>
      <c r="BH12" s="182">
        <f>BH10+BH11+BH12+BH13</f>
        <v/>
      </c>
      <c r="BI12" s="182">
        <f>BI10+BI11+BI12+BI13</f>
        <v/>
      </c>
      <c r="BJ12" s="182">
        <f>BJ10+BJ11+BJ12+BJ13</f>
        <v/>
      </c>
      <c r="BK12" s="182">
        <f>BK10+BK11+BK12+BK13</f>
        <v/>
      </c>
      <c r="BL12" s="182">
        <f>BL10+BL11+BL12+BL13</f>
        <v/>
      </c>
      <c r="BM12" s="182">
        <f>BM10+BM11+BM12+BM13</f>
        <v/>
      </c>
      <c r="BN12" s="182">
        <f>BN10+BN11+BN12+BN13</f>
        <v/>
      </c>
      <c r="BO12" s="182">
        <f>BO10+BO11+BO12+BO13</f>
        <v/>
      </c>
      <c r="BP12" s="182">
        <f>BP10+BP11+BP12+BP13</f>
        <v/>
      </c>
      <c r="BQ12" s="182">
        <f>BQ10+BQ11+BQ12+BQ13</f>
        <v/>
      </c>
      <c r="BR12" s="182" t="n"/>
      <c r="BS12" s="181" t="n"/>
      <c r="BT12" s="181" t="n"/>
      <c r="BU12" s="181" t="n"/>
      <c r="BV12" s="181" t="n"/>
      <c r="BW12" s="181" t="n"/>
      <c r="BX12" s="181" t="n"/>
      <c r="BY12" s="181" t="n"/>
      <c r="BZ12" s="181" t="n"/>
      <c r="CA12" s="181" t="n"/>
      <c r="CB12" s="181" t="n"/>
      <c r="CC12" s="181" t="n"/>
      <c r="CD12" s="181" t="n"/>
      <c r="CE12" s="181" t="n"/>
      <c r="CF12" s="181" t="n"/>
      <c r="CG12" s="181" t="n"/>
      <c r="CH12" s="181" t="n"/>
      <c r="CI12" s="181" t="n"/>
      <c r="CJ12" s="181" t="n"/>
      <c r="CK12" s="181" t="n"/>
      <c r="CL12" s="181" t="n"/>
      <c r="CM12" s="181" t="n"/>
      <c r="CN12" s="181" t="n"/>
      <c r="CO12" s="181" t="n"/>
      <c r="CP12" s="181" t="n"/>
      <c r="CQ12" s="181" t="n"/>
      <c r="CR12" s="181" t="n"/>
      <c r="CS12" s="181" t="n"/>
      <c r="CT12" s="181" t="n"/>
      <c r="CU12" s="181" t="n"/>
      <c r="CV12" s="181" t="n"/>
      <c r="CW12" s="181" t="n"/>
      <c r="CX12" s="181" t="n"/>
      <c r="CY12" s="181" t="n"/>
      <c r="CZ12" s="181" t="n"/>
      <c r="DA12" s="181" t="n"/>
      <c r="DB12" s="181" t="n"/>
      <c r="DC12" s="181" t="n"/>
      <c r="DD12" s="181" t="n"/>
      <c r="DE12" s="181" t="n"/>
      <c r="DF12" s="181" t="n"/>
      <c r="DG12" s="181" t="n"/>
      <c r="DH12" s="181" t="n"/>
      <c r="DI12" s="181" t="n"/>
      <c r="DJ12" s="181" t="n"/>
      <c r="DK12" s="181" t="n"/>
      <c r="DL12" s="181" t="n"/>
      <c r="DM12" s="181" t="n"/>
      <c r="DN12" s="181" t="n"/>
      <c r="DO12" s="181" t="n"/>
      <c r="DP12" s="181" t="n"/>
      <c r="DQ12" s="181" t="n"/>
      <c r="DR12" s="181" t="n"/>
    </row>
    <row r="13" ht="15.75" customHeight="1" s="362">
      <c r="A13" s="183" t="inlineStr">
        <is>
          <t>Sous traitance</t>
        </is>
      </c>
      <c r="B13" s="180" t="n"/>
      <c r="C13" s="174">
        <f>SUM(F10:Q10)</f>
        <v/>
      </c>
      <c r="D13" s="175">
        <f>'Sous traitance'!D30</f>
        <v/>
      </c>
      <c r="E13" s="175">
        <f>'Sous traitance'!E30</f>
        <v/>
      </c>
      <c r="F13" s="175">
        <f>'Sous traitance'!F30</f>
        <v/>
      </c>
      <c r="G13" s="175">
        <f>'Sous traitance'!G30</f>
        <v/>
      </c>
      <c r="H13" s="175">
        <f>'Sous traitance'!H30</f>
        <v/>
      </c>
      <c r="I13" s="175">
        <f>'Sous traitance'!I30</f>
        <v/>
      </c>
      <c r="J13" s="175">
        <f>'Sous traitance'!J30</f>
        <v/>
      </c>
      <c r="K13" s="175">
        <f>'Sous traitance'!K30</f>
        <v/>
      </c>
      <c r="L13" s="175">
        <f>'Sous traitance'!L30</f>
        <v/>
      </c>
      <c r="M13" s="175">
        <f>'Sous traitance'!M30</f>
        <v/>
      </c>
      <c r="N13" s="175">
        <f>'Sous traitance'!N30</f>
        <v/>
      </c>
      <c r="O13" s="175">
        <f>'Sous traitance'!O30</f>
        <v/>
      </c>
      <c r="P13" s="175">
        <f>'Sous traitance'!P30</f>
        <v/>
      </c>
      <c r="Q13" s="175">
        <f>'Sous traitance'!Q30</f>
        <v/>
      </c>
      <c r="R13" s="174">
        <f>SUM(S10:AD10)</f>
        <v/>
      </c>
      <c r="S13" s="175">
        <f>'Sous traitance'!S30</f>
        <v/>
      </c>
      <c r="T13" s="175">
        <f>'Sous traitance'!T30</f>
        <v/>
      </c>
      <c r="U13" s="175">
        <f>'Sous traitance'!U30</f>
        <v/>
      </c>
      <c r="V13" s="175">
        <f>'Sous traitance'!V30</f>
        <v/>
      </c>
      <c r="W13" s="175">
        <f>'Sous traitance'!W30</f>
        <v/>
      </c>
      <c r="X13" s="175">
        <f>'Sous traitance'!X30</f>
        <v/>
      </c>
      <c r="Y13" s="175">
        <f>'Sous traitance'!Y30</f>
        <v/>
      </c>
      <c r="Z13" s="175">
        <f>'Sous traitance'!Z30</f>
        <v/>
      </c>
      <c r="AA13" s="175">
        <f>'Sous traitance'!AA30</f>
        <v/>
      </c>
      <c r="AB13" s="175">
        <f>'Sous traitance'!AB30</f>
        <v/>
      </c>
      <c r="AC13" s="175">
        <f>'Sous traitance'!AC30</f>
        <v/>
      </c>
      <c r="AD13" s="175">
        <f>'Sous traitance'!AD30</f>
        <v/>
      </c>
      <c r="AE13" s="174">
        <f>SUM(AF10:AQ10)</f>
        <v/>
      </c>
      <c r="AF13" s="175">
        <f>'Sous traitance'!AF30</f>
        <v/>
      </c>
      <c r="AG13" s="175">
        <f>'Sous traitance'!AG30</f>
        <v/>
      </c>
      <c r="AH13" s="175">
        <f>'Sous traitance'!AH30</f>
        <v/>
      </c>
      <c r="AI13" s="175">
        <f>'Sous traitance'!AI30</f>
        <v/>
      </c>
      <c r="AJ13" s="175">
        <f>'Sous traitance'!AJ30</f>
        <v/>
      </c>
      <c r="AK13" s="175">
        <f>'Sous traitance'!AK30</f>
        <v/>
      </c>
      <c r="AL13" s="175">
        <f>'Sous traitance'!AL30</f>
        <v/>
      </c>
      <c r="AM13" s="175">
        <f>'Sous traitance'!AM30</f>
        <v/>
      </c>
      <c r="AN13" s="175">
        <f>'Sous traitance'!AN30</f>
        <v/>
      </c>
      <c r="AO13" s="175">
        <f>'Sous traitance'!AO30</f>
        <v/>
      </c>
      <c r="AP13" s="175">
        <f>'Sous traitance'!AP30</f>
        <v/>
      </c>
      <c r="AQ13" s="175">
        <f>'Sous traitance'!AQ30</f>
        <v/>
      </c>
      <c r="AR13" s="174">
        <f>SUM(AS10:BD10)</f>
        <v/>
      </c>
      <c r="AS13" s="175">
        <f>'Sous traitance'!AS30</f>
        <v/>
      </c>
      <c r="AT13" s="175">
        <f>'Sous traitance'!AT30</f>
        <v/>
      </c>
      <c r="AU13" s="175">
        <f>'Sous traitance'!AU30</f>
        <v/>
      </c>
      <c r="AV13" s="175">
        <f>'Sous traitance'!AV30</f>
        <v/>
      </c>
      <c r="AW13" s="175">
        <f>'Sous traitance'!AW30</f>
        <v/>
      </c>
      <c r="AX13" s="175">
        <f>'Sous traitance'!AX30</f>
        <v/>
      </c>
      <c r="AY13" s="175">
        <f>'Sous traitance'!AY30</f>
        <v/>
      </c>
      <c r="AZ13" s="175">
        <f>'Sous traitance'!AZ30</f>
        <v/>
      </c>
      <c r="BA13" s="175">
        <f>'Sous traitance'!BA30</f>
        <v/>
      </c>
      <c r="BB13" s="175">
        <f>'Sous traitance'!BB30</f>
        <v/>
      </c>
      <c r="BC13" s="175">
        <f>'Sous traitance'!BC30</f>
        <v/>
      </c>
      <c r="BD13" s="175">
        <f>'Sous traitance'!BD30</f>
        <v/>
      </c>
      <c r="BE13" s="174">
        <f>SUM(BF10:BQ10)</f>
        <v/>
      </c>
      <c r="BF13" s="180">
        <f>'Sous traitance'!BF30</f>
        <v/>
      </c>
      <c r="BG13" s="180">
        <f>'Sous traitance'!BG30</f>
        <v/>
      </c>
      <c r="BH13" s="180">
        <f>'Sous traitance'!BH30</f>
        <v/>
      </c>
      <c r="BI13" s="180">
        <f>'Sous traitance'!BI30</f>
        <v/>
      </c>
      <c r="BJ13" s="180">
        <f>'Sous traitance'!BJ30</f>
        <v/>
      </c>
      <c r="BK13" s="180">
        <f>'Sous traitance'!BK30</f>
        <v/>
      </c>
      <c r="BL13" s="180">
        <f>'Sous traitance'!BL30</f>
        <v/>
      </c>
      <c r="BM13" s="180">
        <f>'Sous traitance'!BM30</f>
        <v/>
      </c>
      <c r="BN13" s="180">
        <f>'Sous traitance'!BN30</f>
        <v/>
      </c>
      <c r="BO13" s="180">
        <f>'Sous traitance'!BO30</f>
        <v/>
      </c>
      <c r="BP13" s="180">
        <f>'Sous traitance'!BP30</f>
        <v/>
      </c>
      <c r="BQ13" s="180">
        <f>'Sous traitance'!BQ30</f>
        <v/>
      </c>
      <c r="BR13" s="180" t="n"/>
      <c r="BS13" s="180" t="n"/>
      <c r="BT13" s="180" t="n"/>
      <c r="BU13" s="180" t="n"/>
      <c r="BV13" s="180" t="n"/>
      <c r="BW13" s="180" t="n"/>
      <c r="BX13" s="180" t="n"/>
      <c r="BY13" s="180" t="n"/>
      <c r="BZ13" s="180" t="n"/>
      <c r="CA13" s="180" t="n"/>
      <c r="CB13" s="180" t="n"/>
      <c r="CC13" s="180" t="n"/>
      <c r="CD13" s="180" t="n"/>
      <c r="CE13" s="180" t="n"/>
      <c r="CF13" s="180" t="n"/>
      <c r="CG13" s="180" t="n"/>
      <c r="CH13" s="180" t="n"/>
      <c r="CI13" s="180" t="n"/>
      <c r="CJ13" s="180" t="n"/>
      <c r="CK13" s="180" t="n"/>
      <c r="CL13" s="180" t="n"/>
      <c r="CM13" s="180" t="n"/>
      <c r="CN13" s="180" t="n"/>
      <c r="CO13" s="180" t="n"/>
      <c r="CP13" s="180" t="n"/>
      <c r="CQ13" s="180" t="n"/>
      <c r="CR13" s="180" t="n"/>
      <c r="CS13" s="180" t="n"/>
      <c r="CT13" s="180" t="n"/>
      <c r="CU13" s="180" t="n"/>
      <c r="CV13" s="180" t="n"/>
      <c r="CW13" s="180" t="n"/>
      <c r="CX13" s="180" t="n"/>
      <c r="CY13" s="180" t="n"/>
      <c r="CZ13" s="180" t="n"/>
      <c r="DA13" s="180" t="n"/>
      <c r="DB13" s="180" t="n"/>
      <c r="DC13" s="180" t="n"/>
      <c r="DD13" s="180" t="n"/>
      <c r="DE13" s="180" t="n"/>
      <c r="DF13" s="180" t="n"/>
      <c r="DG13" s="180" t="n"/>
      <c r="DH13" s="180" t="n"/>
      <c r="DI13" s="180" t="n"/>
      <c r="DJ13" s="180" t="n"/>
      <c r="DK13" s="180" t="n"/>
      <c r="DL13" s="180" t="n"/>
      <c r="DM13" s="180" t="n"/>
      <c r="DN13" s="180" t="n"/>
      <c r="DO13" s="180" t="n"/>
      <c r="DP13" s="180" t="n"/>
      <c r="DQ13" s="180" t="n"/>
      <c r="DR13" s="180" t="n"/>
    </row>
    <row r="14" ht="15.75" customHeight="1" s="362">
      <c r="A14" s="184" t="inlineStr">
        <is>
          <t>Infrastructure technique</t>
        </is>
      </c>
      <c r="B14" s="341" t="n"/>
      <c r="C14" s="174">
        <f>'Infrastructure technique'!C11</f>
        <v/>
      </c>
      <c r="D14" s="175">
        <f>'Infrastructure technique'!D11</f>
        <v/>
      </c>
      <c r="E14" s="175">
        <f>'Infrastructure technique'!E11</f>
        <v/>
      </c>
      <c r="F14" s="175">
        <f>'Infrastructure technique'!F11</f>
        <v/>
      </c>
      <c r="G14" s="175">
        <f>'Infrastructure technique'!G11</f>
        <v/>
      </c>
      <c r="H14" s="175">
        <f>'Infrastructure technique'!H11</f>
        <v/>
      </c>
      <c r="I14" s="175">
        <f>'Infrastructure technique'!I11</f>
        <v/>
      </c>
      <c r="J14" s="175">
        <f>'Infrastructure technique'!J11</f>
        <v/>
      </c>
      <c r="K14" s="175">
        <f>'Infrastructure technique'!K11</f>
        <v/>
      </c>
      <c r="L14" s="175">
        <f>'Infrastructure technique'!L11</f>
        <v/>
      </c>
      <c r="M14" s="175">
        <f>'Infrastructure technique'!M11</f>
        <v/>
      </c>
      <c r="N14" s="175">
        <f>'Infrastructure technique'!N11</f>
        <v/>
      </c>
      <c r="O14" s="175">
        <f>'Infrastructure technique'!O11</f>
        <v/>
      </c>
      <c r="P14" s="175">
        <f>'Infrastructure technique'!P11</f>
        <v/>
      </c>
      <c r="Q14" s="175">
        <f>'Infrastructure technique'!Q11</f>
        <v/>
      </c>
      <c r="R14" s="174">
        <f>'Infrastructure technique'!R11</f>
        <v/>
      </c>
      <c r="S14" s="175">
        <f>'Infrastructure technique'!S11</f>
        <v/>
      </c>
      <c r="T14" s="175">
        <f>'Infrastructure technique'!T11</f>
        <v/>
      </c>
      <c r="U14" s="175">
        <f>'Infrastructure technique'!U11</f>
        <v/>
      </c>
      <c r="V14" s="175">
        <f>'Sous traitance'!V31</f>
        <v/>
      </c>
      <c r="W14" s="175">
        <f>'Infrastructure technique'!W11</f>
        <v/>
      </c>
      <c r="X14" s="175">
        <f>'Infrastructure technique'!X11</f>
        <v/>
      </c>
      <c r="Y14" s="175">
        <f>'Infrastructure technique'!Y11</f>
        <v/>
      </c>
      <c r="Z14" s="175">
        <f>'Infrastructure technique'!Z11</f>
        <v/>
      </c>
      <c r="AA14" s="175">
        <f>'Infrastructure technique'!AA11</f>
        <v/>
      </c>
      <c r="AB14" s="175">
        <f>'Infrastructure technique'!AB11</f>
        <v/>
      </c>
      <c r="AC14" s="175">
        <f>'Infrastructure technique'!AC11</f>
        <v/>
      </c>
      <c r="AD14" s="175">
        <f>'Infrastructure technique'!AD11</f>
        <v/>
      </c>
      <c r="AE14" s="174">
        <f>'Infrastructure technique'!AE11</f>
        <v/>
      </c>
      <c r="AF14" s="175">
        <f>'Infrastructure technique'!AF11</f>
        <v/>
      </c>
      <c r="AG14" s="175">
        <f>'Infrastructure technique'!AG11</f>
        <v/>
      </c>
      <c r="AH14" s="175">
        <f>'Infrastructure technique'!AH11</f>
        <v/>
      </c>
      <c r="AI14" s="175">
        <f>'Infrastructure technique'!AI11</f>
        <v/>
      </c>
      <c r="AJ14" s="175">
        <f>'Infrastructure technique'!AJ11</f>
        <v/>
      </c>
      <c r="AK14" s="175">
        <f>'Infrastructure technique'!AK11</f>
        <v/>
      </c>
      <c r="AL14" s="175">
        <f>'Infrastructure technique'!AL11</f>
        <v/>
      </c>
      <c r="AM14" s="175">
        <f>'Infrastructure technique'!AM11</f>
        <v/>
      </c>
      <c r="AN14" s="175">
        <f>'Infrastructure technique'!AN11</f>
        <v/>
      </c>
      <c r="AO14" s="175">
        <f>'Infrastructure technique'!AO11</f>
        <v/>
      </c>
      <c r="AP14" s="175">
        <f>'Infrastructure technique'!AP11</f>
        <v/>
      </c>
      <c r="AQ14" s="175">
        <f>'Infrastructure technique'!AQ11</f>
        <v/>
      </c>
      <c r="AR14" s="174">
        <f>'Infrastructure technique'!AR11</f>
        <v/>
      </c>
      <c r="AS14" s="175">
        <f>'Infrastructure technique'!AS11</f>
        <v/>
      </c>
      <c r="AT14" s="175">
        <f>'Infrastructure technique'!AT11</f>
        <v/>
      </c>
      <c r="AU14" s="175">
        <f>'Infrastructure technique'!AU11</f>
        <v/>
      </c>
      <c r="AV14" s="175">
        <f>'Infrastructure technique'!AV11</f>
        <v/>
      </c>
      <c r="AW14" s="175">
        <f>'Infrastructure technique'!AW11</f>
        <v/>
      </c>
      <c r="AX14" s="175">
        <f>'Infrastructure technique'!AX11</f>
        <v/>
      </c>
      <c r="AY14" s="175">
        <f>'Infrastructure technique'!AY11</f>
        <v/>
      </c>
      <c r="AZ14" s="175">
        <f>'Infrastructure technique'!AZ11</f>
        <v/>
      </c>
      <c r="BA14" s="175">
        <f>'Infrastructure technique'!BA11</f>
        <v/>
      </c>
      <c r="BB14" s="175">
        <f>'Infrastructure technique'!BB11</f>
        <v/>
      </c>
      <c r="BC14" s="175">
        <f>'Infrastructure technique'!BC11</f>
        <v/>
      </c>
      <c r="BD14" s="175">
        <f>'Infrastructure technique'!BD11</f>
        <v/>
      </c>
      <c r="BE14" s="174">
        <f>'Infrastructure technique'!BE11</f>
        <v/>
      </c>
      <c r="BF14" s="185">
        <f>'Infrastructure technique'!BF11</f>
        <v/>
      </c>
      <c r="BG14" s="185">
        <f>'Infrastructure technique'!BG11</f>
        <v/>
      </c>
      <c r="BH14" s="185">
        <f>'Infrastructure technique'!BH11</f>
        <v/>
      </c>
      <c r="BI14" s="185">
        <f>'Infrastructure technique'!BI11</f>
        <v/>
      </c>
      <c r="BJ14" s="185">
        <f>'Infrastructure technique'!BJ11</f>
        <v/>
      </c>
      <c r="BK14" s="185">
        <f>'Infrastructure technique'!BK11</f>
        <v/>
      </c>
      <c r="BL14" s="185">
        <f>'Infrastructure technique'!BL11</f>
        <v/>
      </c>
      <c r="BM14" s="185">
        <f>'Infrastructure technique'!BM11</f>
        <v/>
      </c>
      <c r="BN14" s="185">
        <f>'Infrastructure technique'!BN11</f>
        <v/>
      </c>
      <c r="BO14" s="185">
        <f>'Infrastructure technique'!BO11</f>
        <v/>
      </c>
      <c r="BP14" s="185">
        <f>'Infrastructure technique'!BP11</f>
        <v/>
      </c>
      <c r="BQ14" s="185">
        <f>'Infrastructure technique'!BQ11</f>
        <v/>
      </c>
      <c r="BR14" s="185">
        <f>'Infrastructure technique'!BR11</f>
        <v/>
      </c>
      <c r="BS14" s="341" t="n"/>
      <c r="BT14" s="341" t="n"/>
      <c r="BU14" s="341" t="n"/>
      <c r="BV14" s="341" t="n"/>
      <c r="BW14" s="341" t="n"/>
      <c r="BX14" s="341" t="n"/>
      <c r="BY14" s="341" t="n"/>
      <c r="BZ14" s="341" t="n"/>
      <c r="CA14" s="341" t="n"/>
      <c r="CB14" s="341" t="n"/>
      <c r="CC14" s="341" t="n"/>
      <c r="CD14" s="341" t="n"/>
      <c r="CE14" s="341" t="n"/>
      <c r="CF14" s="341" t="n"/>
      <c r="CG14" s="341" t="n"/>
      <c r="CH14" s="341" t="n"/>
      <c r="CI14" s="341" t="n"/>
      <c r="CJ14" s="341" t="n"/>
      <c r="CK14" s="341" t="n"/>
      <c r="CL14" s="341" t="n"/>
      <c r="CM14" s="341" t="n"/>
      <c r="CN14" s="341" t="n"/>
      <c r="CO14" s="341" t="n"/>
      <c r="CP14" s="341" t="n"/>
      <c r="CQ14" s="341" t="n"/>
      <c r="CR14" s="341" t="n"/>
      <c r="CS14" s="341" t="n"/>
      <c r="CT14" s="341" t="n"/>
      <c r="CU14" s="341" t="n"/>
      <c r="CV14" s="341" t="n"/>
      <c r="CW14" s="341" t="n"/>
      <c r="CX14" s="341" t="n"/>
      <c r="CY14" s="341" t="n"/>
      <c r="CZ14" s="341" t="n"/>
      <c r="DA14" s="341" t="n"/>
      <c r="DB14" s="341" t="n"/>
      <c r="DC14" s="341" t="n"/>
      <c r="DD14" s="341" t="n"/>
      <c r="DE14" s="341" t="n"/>
      <c r="DF14" s="341" t="n"/>
      <c r="DG14" s="341" t="n"/>
      <c r="DH14" s="341" t="n"/>
      <c r="DI14" s="341" t="n"/>
      <c r="DJ14" s="341" t="n"/>
      <c r="DK14" s="341" t="n"/>
      <c r="DL14" s="341" t="n"/>
      <c r="DM14" s="341" t="n"/>
      <c r="DN14" s="341" t="n"/>
      <c r="DO14" s="341" t="n"/>
      <c r="DP14" s="341" t="n"/>
      <c r="DQ14" s="341" t="n"/>
      <c r="DR14" s="341" t="n"/>
    </row>
    <row r="15" ht="15.75" customHeight="1" s="362">
      <c r="A15" s="341" t="inlineStr">
        <is>
          <t>Charges de personnel</t>
        </is>
      </c>
      <c r="B15" s="196" t="n">
        <v>0</v>
      </c>
      <c r="C15" s="174">
        <f>$B$12*C22</f>
        <v/>
      </c>
      <c r="D15" s="175">
        <f>$B$12*D22</f>
        <v/>
      </c>
      <c r="E15" s="175">
        <f>$B$12*E22</f>
        <v/>
      </c>
      <c r="F15" s="175">
        <f>$B$12*F22</f>
        <v/>
      </c>
      <c r="G15" s="175">
        <f>$B$12*G22</f>
        <v/>
      </c>
      <c r="H15" s="175">
        <f>$B$12*H22</f>
        <v/>
      </c>
      <c r="I15" s="175">
        <f>$B$12*I22</f>
        <v/>
      </c>
      <c r="J15" s="175">
        <f>$B$12*J22</f>
        <v/>
      </c>
      <c r="K15" s="175">
        <f>$B$12*K22</f>
        <v/>
      </c>
      <c r="L15" s="175">
        <f>$B$12*L22</f>
        <v/>
      </c>
      <c r="M15" s="175">
        <f>$B$12*M22</f>
        <v/>
      </c>
      <c r="N15" s="175">
        <f>$B$12*N22</f>
        <v/>
      </c>
      <c r="O15" s="175">
        <f>$B$12*O22</f>
        <v/>
      </c>
      <c r="P15" s="175">
        <f>$B$12*P22</f>
        <v/>
      </c>
      <c r="Q15" s="175">
        <f>$B$12*Q22</f>
        <v/>
      </c>
      <c r="R15" s="174">
        <f>$B$12*R22</f>
        <v/>
      </c>
      <c r="S15" s="175">
        <f>$B$12*S22</f>
        <v/>
      </c>
      <c r="T15" s="175">
        <f>$B$12*T22</f>
        <v/>
      </c>
      <c r="U15" s="175">
        <f>$B$12*U22</f>
        <v/>
      </c>
      <c r="V15" s="175">
        <f>$B$12*V22</f>
        <v/>
      </c>
      <c r="W15" s="175">
        <f>$B$12*W22</f>
        <v/>
      </c>
      <c r="X15" s="175">
        <f>$B$12*X22</f>
        <v/>
      </c>
      <c r="Y15" s="175">
        <f>$B$12*Y22</f>
        <v/>
      </c>
      <c r="Z15" s="175">
        <f>$B$12*Z22</f>
        <v/>
      </c>
      <c r="AA15" s="175">
        <f>$B$12*AA22</f>
        <v/>
      </c>
      <c r="AB15" s="175">
        <f>$B$12*AB22</f>
        <v/>
      </c>
      <c r="AC15" s="175">
        <f>$B$12*AC22</f>
        <v/>
      </c>
      <c r="AD15" s="175">
        <f>$B$12*AD22</f>
        <v/>
      </c>
      <c r="AE15" s="174">
        <f>$B$12*AE22</f>
        <v/>
      </c>
      <c r="AF15" s="175">
        <f>$B$12*AF22</f>
        <v/>
      </c>
      <c r="AG15" s="175">
        <f>$B$12*AG22</f>
        <v/>
      </c>
      <c r="AH15" s="175">
        <f>$B$12*AH22</f>
        <v/>
      </c>
      <c r="AI15" s="175">
        <f>$B$12*AI22</f>
        <v/>
      </c>
      <c r="AJ15" s="175">
        <f>$B$12*AJ22</f>
        <v/>
      </c>
      <c r="AK15" s="175">
        <f>$B$12*AK22</f>
        <v/>
      </c>
      <c r="AL15" s="175">
        <f>$B$12*AL22</f>
        <v/>
      </c>
      <c r="AM15" s="175">
        <f>$B$12*AM22</f>
        <v/>
      </c>
      <c r="AN15" s="175">
        <f>$B$12*AN22</f>
        <v/>
      </c>
      <c r="AO15" s="175">
        <f>$B$12*AO22</f>
        <v/>
      </c>
      <c r="AP15" s="175">
        <f>$B$12*AP22</f>
        <v/>
      </c>
      <c r="AQ15" s="175">
        <f>$B$12*AQ22</f>
        <v/>
      </c>
      <c r="AR15" s="174">
        <f>$B$12*AR22</f>
        <v/>
      </c>
      <c r="AS15" s="175">
        <f>$B$12*AS22</f>
        <v/>
      </c>
      <c r="AT15" s="175">
        <f>$B$12*AT22</f>
        <v/>
      </c>
      <c r="AU15" s="175">
        <f>$B$12*AU22</f>
        <v/>
      </c>
      <c r="AV15" s="175">
        <f>$B$12*AV22</f>
        <v/>
      </c>
      <c r="AW15" s="175">
        <f>$B$12*AW22</f>
        <v/>
      </c>
      <c r="AX15" s="175">
        <f>$B$12*AX22</f>
        <v/>
      </c>
      <c r="AY15" s="175">
        <f>$B$12*AY22</f>
        <v/>
      </c>
      <c r="AZ15" s="175">
        <f>$B$12*AZ22</f>
        <v/>
      </c>
      <c r="BA15" s="175">
        <f>$B$12*BA22</f>
        <v/>
      </c>
      <c r="BB15" s="175">
        <f>$B$12*BB22</f>
        <v/>
      </c>
      <c r="BC15" s="175">
        <f>$B$12*BC22</f>
        <v/>
      </c>
      <c r="BD15" s="175">
        <f>$B$12*BD22</f>
        <v/>
      </c>
      <c r="BE15" s="174">
        <f>$B$12*BE22</f>
        <v/>
      </c>
    </row>
    <row r="16" ht="15.75" customHeight="1" s="362">
      <c r="A16" s="341" t="inlineStr">
        <is>
          <t>Licence ForgeAI</t>
        </is>
      </c>
      <c r="B16" s="193" t="n">
        <v>0</v>
      </c>
      <c r="C16" s="341">
        <f>(C8+C7)*$B$13</f>
        <v/>
      </c>
      <c r="D16" s="341">
        <f>(D8+D7)*$B$13</f>
        <v/>
      </c>
      <c r="E16" s="341">
        <f>(E8+E7)*$B$13</f>
        <v/>
      </c>
      <c r="F16" s="341">
        <f>(F8+F7)*$B$13</f>
        <v/>
      </c>
      <c r="G16" s="341">
        <f>(G8+G7)*$B$13</f>
        <v/>
      </c>
      <c r="H16" s="341">
        <f>(H8+H7)*$B$13</f>
        <v/>
      </c>
      <c r="I16" s="341">
        <f>(I8+I7)*$B$13</f>
        <v/>
      </c>
      <c r="J16" s="341">
        <f>(J8+J7)*$B$13</f>
        <v/>
      </c>
      <c r="K16" s="341">
        <f>(K8+K7)*$B$13</f>
        <v/>
      </c>
      <c r="L16" s="341">
        <f>(L8+L7)*$B$13</f>
        <v/>
      </c>
      <c r="M16" s="341">
        <f>(M8+M7)*$B$13</f>
        <v/>
      </c>
      <c r="N16" s="341">
        <f>(N8+N7)*$B$13</f>
        <v/>
      </c>
      <c r="O16" s="341">
        <f>(O8+O7)*$B$13</f>
        <v/>
      </c>
      <c r="P16" s="341">
        <f>(P8+P7)*$B$13</f>
        <v/>
      </c>
      <c r="Q16" s="341">
        <f>(Q8+Q7)*$B$13</f>
        <v/>
      </c>
      <c r="R16" s="341">
        <f>(R8+R7)*$B$13</f>
        <v/>
      </c>
      <c r="S16" s="341">
        <f>(S8+S7)*$B$13</f>
        <v/>
      </c>
      <c r="T16" s="341">
        <f>(T8+T7)*$B$13</f>
        <v/>
      </c>
      <c r="U16" s="341">
        <f>(U8+U7)*$B$13</f>
        <v/>
      </c>
      <c r="V16" s="341">
        <f>(V8+V7)*$B$13</f>
        <v/>
      </c>
      <c r="W16" s="341">
        <f>(W8+W7)*$B$13</f>
        <v/>
      </c>
      <c r="X16" s="341">
        <f>(X8+X7)*$B$13</f>
        <v/>
      </c>
      <c r="Y16" s="341">
        <f>(Y8+Y7)*$B$13</f>
        <v/>
      </c>
      <c r="Z16" s="341">
        <f>(Z8+Z7)*$B$13</f>
        <v/>
      </c>
      <c r="AA16" s="341">
        <f>(AA8+AA7)*$B$13</f>
        <v/>
      </c>
      <c r="AB16" s="341">
        <f>(AB8+AB7)*$B$13</f>
        <v/>
      </c>
      <c r="AC16" s="341">
        <f>(AC8+AC7)*$B$13</f>
        <v/>
      </c>
      <c r="AD16" s="341">
        <f>(AD8+AD7)*$B$13</f>
        <v/>
      </c>
      <c r="AE16" s="341">
        <f>(AE8+AE7)*$B$13</f>
        <v/>
      </c>
      <c r="AF16" s="341">
        <f>(AF8+AF7)*$B$13</f>
        <v/>
      </c>
      <c r="AG16" s="341">
        <f>(AG8+AG7)*$B$13</f>
        <v/>
      </c>
      <c r="AH16" s="341">
        <f>(AH8+AH7)*$B$13</f>
        <v/>
      </c>
      <c r="AI16" s="341">
        <f>(AI8+AI7)*$B$13</f>
        <v/>
      </c>
      <c r="AJ16" s="341">
        <f>(AJ8+AJ7)*$B$13</f>
        <v/>
      </c>
      <c r="AK16" s="341">
        <f>(AK8+AK7)*$B$13</f>
        <v/>
      </c>
      <c r="AL16" s="341">
        <f>(AL8+AL7)*$B$13</f>
        <v/>
      </c>
      <c r="AM16" s="341">
        <f>(AM8+AM7)*$B$13</f>
        <v/>
      </c>
      <c r="AN16" s="341">
        <f>(AN8+AN7)*$B$13</f>
        <v/>
      </c>
      <c r="AO16" s="341">
        <f>(AO8+AO7)*$B$13</f>
        <v/>
      </c>
      <c r="AP16" s="341">
        <f>(AP8+AP7)*$B$13</f>
        <v/>
      </c>
      <c r="AQ16" s="341">
        <f>(AQ8+AQ7)*$B$13</f>
        <v/>
      </c>
      <c r="AR16" s="341">
        <f>(AR8+AR7)*$B$13</f>
        <v/>
      </c>
      <c r="AS16" s="341">
        <f>(AS8+AS7)*$B$13</f>
        <v/>
      </c>
      <c r="AT16" s="341">
        <f>(AT8+AT7)*$B$13</f>
        <v/>
      </c>
      <c r="AU16" s="341">
        <f>(AU8+AU7)*$B$13</f>
        <v/>
      </c>
      <c r="AV16" s="341">
        <f>(AV8+AV7)*$B$13</f>
        <v/>
      </c>
      <c r="AW16" s="341">
        <f>(AW8+AW7)*$B$13</f>
        <v/>
      </c>
      <c r="AX16" s="341">
        <f>(AX8+AX7)*$B$13</f>
        <v/>
      </c>
      <c r="AY16" s="341">
        <f>(AY8+AY7)*$B$13</f>
        <v/>
      </c>
      <c r="AZ16" s="341">
        <f>(AZ8+AZ7)*$B$13</f>
        <v/>
      </c>
      <c r="BA16" s="341">
        <f>(BA8+BA7)*$B$13</f>
        <v/>
      </c>
      <c r="BB16" s="341">
        <f>(BB8+BB7)*$B$13</f>
        <v/>
      </c>
      <c r="BC16" s="341">
        <f>(BC8+BC7)*$B$13</f>
        <v/>
      </c>
      <c r="BD16" s="341">
        <f>(BD8+BD7)*$B$13</f>
        <v/>
      </c>
      <c r="BE16" s="341">
        <f>(BE8+BE7)*$B$13</f>
        <v/>
      </c>
      <c r="BF16" s="341">
        <f>(BF8+BF7)*($B$13-0.1)</f>
        <v/>
      </c>
      <c r="BG16" s="341">
        <f>(BG8+BG7)*($B$13-0.1)</f>
        <v/>
      </c>
      <c r="BH16" s="341">
        <f>(BH8+BH7)*($B$13-0.1)</f>
        <v/>
      </c>
      <c r="BI16" s="341">
        <f>(BI8+BI7)*($B$13-0.1)</f>
        <v/>
      </c>
      <c r="BJ16" s="341">
        <f>(BJ8+BJ7)*($B$13-0.1)</f>
        <v/>
      </c>
      <c r="BK16" s="341">
        <f>(BK8+BK7)*($B$13-0.1)</f>
        <v/>
      </c>
      <c r="BL16" s="341">
        <f>(BL8+BL7)*($B$13-0.1)</f>
        <v/>
      </c>
      <c r="BM16" s="341">
        <f>(BM8+BM7)*($B$13-0.1)</f>
        <v/>
      </c>
      <c r="BN16" s="341">
        <f>(BN8+BN7)*($B$13-0.1)</f>
        <v/>
      </c>
      <c r="BO16" s="341">
        <f>(BO8+BO7)*($B$13-0.1)</f>
        <v/>
      </c>
      <c r="BP16" s="341">
        <f>(BP8+BP7)*($B$13-0.1)</f>
        <v/>
      </c>
      <c r="BQ16" s="341">
        <f>(BQ8+BQ7)*($B$13-0.1)</f>
        <v/>
      </c>
      <c r="BR16" s="341" t="n"/>
    </row>
    <row r="17" ht="15.75" customHeight="1" s="362">
      <c r="A17" s="170" t="inlineStr">
        <is>
          <t>RESULTAT OPERATIONNEL</t>
        </is>
      </c>
      <c r="B17" s="170" t="n"/>
      <c r="C17" s="169">
        <f>SUM(F14:Q14)</f>
        <v/>
      </c>
      <c r="D17" s="170" t="n"/>
      <c r="E17" s="170" t="n"/>
      <c r="F17" s="170">
        <f>F2-F9</f>
        <v/>
      </c>
      <c r="G17" s="170">
        <f>G2-G9</f>
        <v/>
      </c>
      <c r="H17" s="170">
        <f>H2-H9</f>
        <v/>
      </c>
      <c r="I17" s="170">
        <f>I2-I9</f>
        <v/>
      </c>
      <c r="J17" s="170">
        <f>J2-J9</f>
        <v/>
      </c>
      <c r="K17" s="170">
        <f>K2-K9</f>
        <v/>
      </c>
      <c r="L17" s="170">
        <f>L2-L9</f>
        <v/>
      </c>
      <c r="M17" s="170">
        <f>M2-M9</f>
        <v/>
      </c>
      <c r="N17" s="170">
        <f>N2-N9</f>
        <v/>
      </c>
      <c r="O17" s="170">
        <f>O2-O9</f>
        <v/>
      </c>
      <c r="P17" s="170">
        <f>P2-P9</f>
        <v/>
      </c>
      <c r="Q17" s="170">
        <f>Q2-Q9</f>
        <v/>
      </c>
      <c r="R17" s="169">
        <f>SUM(S14:AD14)</f>
        <v/>
      </c>
      <c r="S17" s="170">
        <f>S2-S9</f>
        <v/>
      </c>
      <c r="T17" s="170">
        <f>T2-T9</f>
        <v/>
      </c>
      <c r="U17" s="170">
        <f>U2-U9</f>
        <v/>
      </c>
      <c r="V17" s="170">
        <f>V2-V9</f>
        <v/>
      </c>
      <c r="W17" s="170">
        <f>W2-W9</f>
        <v/>
      </c>
      <c r="X17" s="170">
        <f>X2-X9</f>
        <v/>
      </c>
      <c r="Y17" s="170">
        <f>Y2-Y9</f>
        <v/>
      </c>
      <c r="Z17" s="170">
        <f>Z2-Z9</f>
        <v/>
      </c>
      <c r="AA17" s="170">
        <f>AA2-AA9</f>
        <v/>
      </c>
      <c r="AB17" s="170">
        <f>AB2-AB9</f>
        <v/>
      </c>
      <c r="AC17" s="170">
        <f>AC2-AC9</f>
        <v/>
      </c>
      <c r="AD17" s="170">
        <f>AD2-AD9</f>
        <v/>
      </c>
      <c r="AE17" s="169">
        <f>SUM(AF14:AQ14)</f>
        <v/>
      </c>
      <c r="AF17" s="170">
        <f>AF2-AF9</f>
        <v/>
      </c>
      <c r="AG17" s="170">
        <f>AG2-AG9</f>
        <v/>
      </c>
      <c r="AH17" s="170">
        <f>AH2-AH9</f>
        <v/>
      </c>
      <c r="AI17" s="170">
        <f>AI2-AI9</f>
        <v/>
      </c>
      <c r="AJ17" s="170">
        <f>AJ2-AJ9</f>
        <v/>
      </c>
      <c r="AK17" s="170">
        <f>AK2-AK9</f>
        <v/>
      </c>
      <c r="AL17" s="170">
        <f>AL2-AL9</f>
        <v/>
      </c>
      <c r="AM17" s="170">
        <f>AM2-AM9</f>
        <v/>
      </c>
      <c r="AN17" s="170">
        <f>AN2-AN9</f>
        <v/>
      </c>
      <c r="AO17" s="170">
        <f>AO2-AO9</f>
        <v/>
      </c>
      <c r="AP17" s="170">
        <f>AP2-AP9</f>
        <v/>
      </c>
      <c r="AQ17" s="170">
        <f>AQ2-AQ9</f>
        <v/>
      </c>
      <c r="AR17" s="169">
        <f>SUM(AS14:BD14)</f>
        <v/>
      </c>
      <c r="AS17" s="170">
        <f>AS2-AS9</f>
        <v/>
      </c>
      <c r="AT17" s="170">
        <f>AT2-AT9</f>
        <v/>
      </c>
      <c r="AU17" s="170">
        <f>AU2-AU9</f>
        <v/>
      </c>
      <c r="AV17" s="170">
        <f>AV2-AV9</f>
        <v/>
      </c>
      <c r="AW17" s="170">
        <f>AW2-AW9</f>
        <v/>
      </c>
      <c r="AX17" s="170">
        <f>AX2-AX9</f>
        <v/>
      </c>
      <c r="AY17" s="170">
        <f>AY2-AY9</f>
        <v/>
      </c>
      <c r="AZ17" s="170">
        <f>AZ2-AZ9</f>
        <v/>
      </c>
      <c r="BA17" s="170">
        <f>BA2-BA9</f>
        <v/>
      </c>
      <c r="BB17" s="170">
        <f>BB2-BB9</f>
        <v/>
      </c>
      <c r="BC17" s="170">
        <f>BC2-BC9</f>
        <v/>
      </c>
      <c r="BD17" s="170">
        <f>BD2-BD9</f>
        <v/>
      </c>
      <c r="BE17" s="169">
        <f>SUM(BF14:BQ14)</f>
        <v/>
      </c>
      <c r="BF17" s="170">
        <f>BF2-BF9</f>
        <v/>
      </c>
      <c r="BG17" s="170">
        <f>BG2-BG9</f>
        <v/>
      </c>
      <c r="BH17" s="170">
        <f>BH2-BH9</f>
        <v/>
      </c>
      <c r="BI17" s="170">
        <f>BI2-BI9</f>
        <v/>
      </c>
      <c r="BJ17" s="170">
        <f>BJ2-BJ9</f>
        <v/>
      </c>
      <c r="BK17" s="170">
        <f>BK2-BK9</f>
        <v/>
      </c>
      <c r="BL17" s="170">
        <f>BL2-BL9</f>
        <v/>
      </c>
      <c r="BM17" s="170">
        <f>BM2-BM9</f>
        <v/>
      </c>
      <c r="BN17" s="170">
        <f>BN2-BN9</f>
        <v/>
      </c>
      <c r="BO17" s="170">
        <f>BO2-BO9</f>
        <v/>
      </c>
      <c r="BP17" s="170">
        <f>BP2-BP9</f>
        <v/>
      </c>
      <c r="BQ17" s="170">
        <f>BQ2-BQ9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C18" s="189">
        <f>C14/C2</f>
        <v/>
      </c>
      <c r="D18" s="190" t="n"/>
      <c r="E18" s="190" t="n"/>
      <c r="F18" s="190">
        <f>F14/F2</f>
        <v/>
      </c>
      <c r="G18" s="190">
        <f>G14/G2</f>
        <v/>
      </c>
      <c r="H18" s="190">
        <f>H14/H2</f>
        <v/>
      </c>
      <c r="I18" s="190">
        <f>I14/I2</f>
        <v/>
      </c>
      <c r="J18" s="190">
        <f>J14/J2</f>
        <v/>
      </c>
      <c r="K18" s="190">
        <f>K14/K2</f>
        <v/>
      </c>
      <c r="L18" s="190">
        <f>L14/L2</f>
        <v/>
      </c>
      <c r="M18" s="190">
        <f>M14/M2</f>
        <v/>
      </c>
      <c r="N18" s="190">
        <f>N14/N2</f>
        <v/>
      </c>
      <c r="O18" s="190">
        <f>O14/O2</f>
        <v/>
      </c>
      <c r="P18" s="190">
        <f>P14/P2</f>
        <v/>
      </c>
      <c r="Q18" s="190">
        <f>Q14/Q2</f>
        <v/>
      </c>
      <c r="R18" s="189">
        <f>R14/R2</f>
        <v/>
      </c>
      <c r="S18" s="190">
        <f>S14/S2</f>
        <v/>
      </c>
      <c r="T18" s="190">
        <f>T14/T2</f>
        <v/>
      </c>
      <c r="U18" s="190">
        <f>U14/U2</f>
        <v/>
      </c>
      <c r="V18" s="190">
        <f>V14/V2</f>
        <v/>
      </c>
      <c r="W18" s="190">
        <f>W14/W2</f>
        <v/>
      </c>
      <c r="X18" s="190">
        <f>X14/X2</f>
        <v/>
      </c>
      <c r="Y18" s="190">
        <f>Y14/Y2</f>
        <v/>
      </c>
      <c r="Z18" s="190">
        <f>Z14/Z2</f>
        <v/>
      </c>
      <c r="AA18" s="190">
        <f>AA14/AA2</f>
        <v/>
      </c>
      <c r="AB18" s="190">
        <f>AB14/AB2</f>
        <v/>
      </c>
      <c r="AC18" s="190">
        <f>AC14/AC2</f>
        <v/>
      </c>
      <c r="AD18" s="190">
        <f>AD14/AD2</f>
        <v/>
      </c>
      <c r="AE18" s="189">
        <f>AE14/AE2</f>
        <v/>
      </c>
      <c r="AF18" s="190">
        <f>AF14/AF2</f>
        <v/>
      </c>
      <c r="AG18" s="190">
        <f>AG14/AG2</f>
        <v/>
      </c>
      <c r="AH18" s="190">
        <f>AH14/AH2</f>
        <v/>
      </c>
      <c r="AI18" s="190">
        <f>AI14/AI2</f>
        <v/>
      </c>
      <c r="AJ18" s="190">
        <f>AJ14/AJ2</f>
        <v/>
      </c>
      <c r="AK18" s="190">
        <f>AK14/AK2</f>
        <v/>
      </c>
      <c r="AL18" s="190">
        <f>AL14/AL2</f>
        <v/>
      </c>
      <c r="AM18" s="190">
        <f>AM14/AM2</f>
        <v/>
      </c>
      <c r="AN18" s="190">
        <f>AN14/AN2</f>
        <v/>
      </c>
      <c r="AO18" s="190">
        <f>AO14/AO2</f>
        <v/>
      </c>
      <c r="AP18" s="190">
        <f>AP14/AP2</f>
        <v/>
      </c>
      <c r="AQ18" s="190">
        <f>AQ14/AQ2</f>
        <v/>
      </c>
      <c r="AR18" s="189">
        <f>AR14/AR2</f>
        <v/>
      </c>
      <c r="AS18" s="190">
        <f>AS14/AS2</f>
        <v/>
      </c>
      <c r="AT18" s="190">
        <f>AT14/AT2</f>
        <v/>
      </c>
      <c r="AU18" s="190">
        <f>AU14/AU2</f>
        <v/>
      </c>
      <c r="AV18" s="190">
        <f>AV14/AV2</f>
        <v/>
      </c>
      <c r="AW18" s="190">
        <f>AW14/AW2</f>
        <v/>
      </c>
      <c r="AX18" s="190">
        <f>AX14/AX2</f>
        <v/>
      </c>
      <c r="AY18" s="190">
        <f>AY14/AY2</f>
        <v/>
      </c>
      <c r="AZ18" s="190">
        <f>AZ14/AZ2</f>
        <v/>
      </c>
      <c r="BA18" s="190">
        <f>BA14/BA2</f>
        <v/>
      </c>
      <c r="BB18" s="190">
        <f>BB14/BB2</f>
        <v/>
      </c>
      <c r="BC18" s="190">
        <f>BC14/BC2</f>
        <v/>
      </c>
      <c r="BD18" s="190">
        <f>BD14/BD2</f>
        <v/>
      </c>
      <c r="BE18" s="189">
        <f>BE14/BE2</f>
        <v/>
      </c>
    </row>
    <row r="19" ht="15.75" customHeight="1" s="362">
      <c r="A19" s="180" t="n"/>
      <c r="B19" s="180" t="n"/>
      <c r="C19" s="191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191" t="n"/>
      <c r="S19" s="203" t="n"/>
      <c r="T19" s="203" t="n"/>
      <c r="U19" s="203" t="n"/>
      <c r="V19" s="203" t="n"/>
      <c r="W19" s="203" t="n"/>
      <c r="X19" s="203" t="n"/>
      <c r="Y19" s="203" t="n"/>
      <c r="Z19" s="203" t="n"/>
      <c r="AA19" s="203" t="n"/>
      <c r="AB19" s="203" t="n"/>
      <c r="AC19" s="203" t="n"/>
      <c r="AD19" s="203" t="n"/>
      <c r="AE19" s="191" t="n"/>
      <c r="AF19" s="203" t="n"/>
      <c r="AG19" s="203" t="n"/>
      <c r="AH19" s="203" t="n"/>
      <c r="AI19" s="203" t="n"/>
      <c r="AJ19" s="203" t="n"/>
      <c r="AK19" s="203" t="n"/>
      <c r="AL19" s="203" t="n"/>
      <c r="AM19" s="203" t="n"/>
      <c r="AN19" s="203" t="n"/>
      <c r="AO19" s="203" t="n"/>
      <c r="AP19" s="203" t="n"/>
      <c r="AQ19" s="203" t="n"/>
      <c r="AR19" s="191" t="n"/>
      <c r="AS19" s="203" t="n"/>
      <c r="AT19" s="203" t="n"/>
      <c r="AU19" s="203" t="n"/>
      <c r="AV19" s="203" t="n"/>
      <c r="AW19" s="203" t="n"/>
      <c r="AX19" s="203" t="n"/>
      <c r="AY19" s="203" t="n"/>
      <c r="AZ19" s="203" t="n"/>
      <c r="BA19" s="203" t="n"/>
      <c r="BB19" s="203" t="n"/>
      <c r="BC19" s="203" t="n"/>
      <c r="BD19" s="203" t="n"/>
      <c r="BE19" s="191" t="n"/>
      <c r="BF19" s="180" t="n"/>
      <c r="BG19" s="180" t="n"/>
      <c r="BH19" s="180" t="n"/>
      <c r="BI19" s="180" t="n"/>
      <c r="BJ19" s="180" t="n"/>
      <c r="BK19" s="180" t="n"/>
      <c r="BL19" s="180" t="n"/>
      <c r="BM19" s="180" t="n"/>
      <c r="BN19" s="180" t="n"/>
      <c r="BO19" s="180" t="n"/>
      <c r="BP19" s="180" t="n"/>
      <c r="BQ19" s="180" t="n"/>
      <c r="BR19" s="180" t="n"/>
      <c r="BS19" s="180" t="n"/>
      <c r="BT19" s="180" t="n"/>
      <c r="BU19" s="180" t="n"/>
      <c r="BV19" s="180" t="n"/>
      <c r="BW19" s="180" t="n"/>
      <c r="BX19" s="180" t="n"/>
      <c r="BY19" s="180" t="n"/>
      <c r="BZ19" s="180" t="n"/>
      <c r="CA19" s="180" t="n"/>
      <c r="CB19" s="180" t="n"/>
      <c r="CC19" s="180" t="n"/>
      <c r="CD19" s="180" t="n"/>
      <c r="CE19" s="180" t="n"/>
      <c r="CF19" s="180" t="n"/>
      <c r="CG19" s="180" t="n"/>
      <c r="CH19" s="180" t="n"/>
      <c r="CI19" s="180" t="n"/>
      <c r="CJ19" s="180" t="n"/>
      <c r="CK19" s="180" t="n"/>
      <c r="CL19" s="180" t="n"/>
      <c r="CM19" s="180" t="n"/>
      <c r="CN19" s="180" t="n"/>
      <c r="CO19" s="180" t="n"/>
      <c r="CP19" s="180" t="n"/>
      <c r="CQ19" s="180" t="n"/>
      <c r="CR19" s="180" t="n"/>
      <c r="CS19" s="180" t="n"/>
      <c r="CT19" s="180" t="n"/>
      <c r="CU19" s="180" t="n"/>
      <c r="CV19" s="180" t="n"/>
      <c r="CW19" s="180" t="n"/>
      <c r="CX19" s="180" t="n"/>
      <c r="CY19" s="180" t="n"/>
      <c r="CZ19" s="180" t="n"/>
      <c r="DA19" s="180" t="n"/>
      <c r="DB19" s="180" t="n"/>
      <c r="DC19" s="180" t="n"/>
      <c r="DD19" s="180" t="n"/>
      <c r="DE19" s="180" t="n"/>
      <c r="DF19" s="180" t="n"/>
      <c r="DG19" s="180" t="n"/>
      <c r="DH19" s="180" t="n"/>
      <c r="DI19" s="180" t="n"/>
      <c r="DJ19" s="180" t="n"/>
      <c r="DK19" s="180" t="n"/>
      <c r="DL19" s="180" t="n"/>
      <c r="DM19" s="180" t="n"/>
      <c r="DN19" s="180" t="n"/>
      <c r="DO19" s="180" t="n"/>
      <c r="DP19" s="180" t="n"/>
      <c r="DQ19" s="180" t="n"/>
      <c r="DR19" s="180" t="n"/>
    </row>
    <row r="20" ht="15.75" customHeight="1" s="362">
      <c r="A20" s="170" t="inlineStr">
        <is>
          <t>DEPENSES FONCTIONNELLES</t>
        </is>
      </c>
      <c r="B20" s="170" t="n"/>
      <c r="C20" s="169">
        <f>C18+C19+C20</f>
        <v/>
      </c>
      <c r="D20" s="170" t="n"/>
      <c r="E20" s="170" t="n"/>
      <c r="F20" s="170">
        <f>F18+F19+F20</f>
        <v/>
      </c>
      <c r="G20" s="170">
        <f>G18+G19+G20</f>
        <v/>
      </c>
      <c r="H20" s="170">
        <f>H18+H19+H20</f>
        <v/>
      </c>
      <c r="I20" s="170">
        <f>I18+I19+I20</f>
        <v/>
      </c>
      <c r="J20" s="170">
        <f>J18+J19+J20</f>
        <v/>
      </c>
      <c r="K20" s="170">
        <f>K18+K19+K20</f>
        <v/>
      </c>
      <c r="L20" s="170">
        <f>L18+L19+L20</f>
        <v/>
      </c>
      <c r="M20" s="170">
        <f>M18+M19+M20</f>
        <v/>
      </c>
      <c r="N20" s="170">
        <f>N18+N19+N20</f>
        <v/>
      </c>
      <c r="O20" s="170">
        <f>O18+O19+O20</f>
        <v/>
      </c>
      <c r="P20" s="170">
        <f>P18+P19+P20</f>
        <v/>
      </c>
      <c r="Q20" s="170">
        <f>Q18+Q19+Q20</f>
        <v/>
      </c>
      <c r="R20" s="169">
        <f>R18+R19+R20</f>
        <v/>
      </c>
      <c r="S20" s="170">
        <f>S18+S19+S20</f>
        <v/>
      </c>
      <c r="T20" s="170">
        <f>T18+T19+T20</f>
        <v/>
      </c>
      <c r="U20" s="170">
        <f>U18+U19+U20</f>
        <v/>
      </c>
      <c r="V20" s="170">
        <f>V18+V19+V20</f>
        <v/>
      </c>
      <c r="W20" s="170">
        <f>W18+W19+W20</f>
        <v/>
      </c>
      <c r="X20" s="170">
        <f>X18+X19+X20</f>
        <v/>
      </c>
      <c r="Y20" s="170">
        <f>Y18+Y19+Y20</f>
        <v/>
      </c>
      <c r="Z20" s="170">
        <f>Z18+Z19+Z20</f>
        <v/>
      </c>
      <c r="AA20" s="170">
        <f>AA18+AA19+AA20</f>
        <v/>
      </c>
      <c r="AB20" s="170">
        <f>AB18+AB19+AB20</f>
        <v/>
      </c>
      <c r="AC20" s="170">
        <f>AC18+AC19+AC20</f>
        <v/>
      </c>
      <c r="AD20" s="170">
        <f>AD18+AD19+AD20</f>
        <v/>
      </c>
      <c r="AE20" s="169">
        <f>AE18+AE19+AE20</f>
        <v/>
      </c>
      <c r="AF20" s="170">
        <f>AF18+AF19+AF20</f>
        <v/>
      </c>
      <c r="AG20" s="170">
        <f>AG18+AG19+AG20</f>
        <v/>
      </c>
      <c r="AH20" s="170">
        <f>AH18+AH19+AH20</f>
        <v/>
      </c>
      <c r="AI20" s="170">
        <f>AI18+AI19+AI20</f>
        <v/>
      </c>
      <c r="AJ20" s="170">
        <f>AJ18+AJ19+AJ20</f>
        <v/>
      </c>
      <c r="AK20" s="170">
        <f>AK18+AK19+AK20</f>
        <v/>
      </c>
      <c r="AL20" s="170">
        <f>AL18+AL19+AL20</f>
        <v/>
      </c>
      <c r="AM20" s="170">
        <f>AM18+AM19+AM20</f>
        <v/>
      </c>
      <c r="AN20" s="170">
        <f>AN18+AN19+AN20</f>
        <v/>
      </c>
      <c r="AO20" s="170">
        <f>AO18+AO19+AO20</f>
        <v/>
      </c>
      <c r="AP20" s="170">
        <f>AP18+AP19+AP20</f>
        <v/>
      </c>
      <c r="AQ20" s="170">
        <f>AQ18+AQ19+AQ20</f>
        <v/>
      </c>
      <c r="AR20" s="169">
        <f>AR18+AR19+AR20</f>
        <v/>
      </c>
      <c r="AS20" s="170">
        <f>AS18+AS19+AS20</f>
        <v/>
      </c>
      <c r="AT20" s="170">
        <f>AT18+AT19+AT20</f>
        <v/>
      </c>
      <c r="AU20" s="170">
        <f>AU18+AU19+AU20</f>
        <v/>
      </c>
      <c r="AV20" s="170">
        <f>AV18+AV19+AV20</f>
        <v/>
      </c>
      <c r="AW20" s="170">
        <f>AW18+AW19+AW20</f>
        <v/>
      </c>
      <c r="AX20" s="170">
        <f>AX18+AX19+AX20</f>
        <v/>
      </c>
      <c r="AY20" s="170">
        <f>AY18+AY19+AY20</f>
        <v/>
      </c>
      <c r="AZ20" s="170">
        <f>AZ18+AZ19+AZ20</f>
        <v/>
      </c>
      <c r="BA20" s="170">
        <f>BA18+BA19+BA20</f>
        <v/>
      </c>
      <c r="BB20" s="170">
        <f>BB18+BB19+BB20</f>
        <v/>
      </c>
      <c r="BC20" s="170">
        <f>BC18+BC19+BC20</f>
        <v/>
      </c>
      <c r="BD20" s="170">
        <f>BD18+BD19+BD20</f>
        <v/>
      </c>
      <c r="BE20" s="169">
        <f>BE18+BE19+BE20</f>
        <v/>
      </c>
      <c r="BF20" s="170">
        <f>SUM(BF19:BF20)</f>
        <v/>
      </c>
      <c r="BG20" s="170">
        <f>SUM(BG19:BG20)</f>
        <v/>
      </c>
      <c r="BH20" s="170">
        <f>SUM(BH19:BH20)</f>
        <v/>
      </c>
      <c r="BI20" s="170">
        <f>SUM(BI19:BI20)</f>
        <v/>
      </c>
      <c r="BJ20" s="170">
        <f>SUM(BJ19:BJ20)</f>
        <v/>
      </c>
      <c r="BK20" s="170">
        <f>SUM(BK19:BK20)</f>
        <v/>
      </c>
      <c r="BL20" s="170">
        <f>SUM(BL19:BL20)</f>
        <v/>
      </c>
      <c r="BM20" s="170">
        <f>SUM(BM19:BM20)</f>
        <v/>
      </c>
      <c r="BN20" s="170">
        <f>SUM(BN19:BN20)</f>
        <v/>
      </c>
      <c r="BO20" s="170">
        <f>SUM(BO19:BO20)</f>
        <v/>
      </c>
      <c r="BP20" s="170">
        <f>SUM(BP19:BP20)</f>
        <v/>
      </c>
      <c r="BQ20" s="170">
        <f>SUM(BQ19:BQ20)</f>
        <v/>
      </c>
      <c r="BR20" s="181" t="n"/>
      <c r="BS20" s="181" t="n"/>
      <c r="BT20" s="181" t="n"/>
      <c r="BU20" s="181" t="n"/>
      <c r="BV20" s="181" t="n"/>
      <c r="BW20" s="181" t="n"/>
      <c r="BX20" s="181" t="n"/>
      <c r="BY20" s="181" t="n"/>
      <c r="BZ20" s="181" t="n"/>
      <c r="CA20" s="181" t="n"/>
      <c r="CB20" s="181" t="n"/>
      <c r="CC20" s="181" t="n"/>
      <c r="CD20" s="181" t="n"/>
      <c r="CE20" s="181" t="n"/>
      <c r="CF20" s="181" t="n"/>
      <c r="CG20" s="181" t="n"/>
      <c r="CH20" s="181" t="n"/>
      <c r="CI20" s="181" t="n"/>
      <c r="CJ20" s="181" t="n"/>
      <c r="CK20" s="181" t="n"/>
      <c r="CL20" s="181" t="n"/>
      <c r="CM20" s="181" t="n"/>
      <c r="CN20" s="181" t="n"/>
      <c r="CO20" s="181" t="n"/>
      <c r="CP20" s="181" t="n"/>
      <c r="CQ20" s="181" t="n"/>
      <c r="CR20" s="181" t="n"/>
      <c r="CS20" s="181" t="n"/>
      <c r="CT20" s="181" t="n"/>
      <c r="CU20" s="181" t="n"/>
      <c r="CV20" s="181" t="n"/>
      <c r="CW20" s="181" t="n"/>
      <c r="CX20" s="181" t="n"/>
      <c r="CY20" s="181" t="n"/>
      <c r="CZ20" s="181" t="n"/>
      <c r="DA20" s="181" t="n"/>
      <c r="DB20" s="181" t="n"/>
      <c r="DC20" s="181" t="n"/>
      <c r="DD20" s="181" t="n"/>
      <c r="DE20" s="181" t="n"/>
      <c r="DF20" s="181" t="n"/>
      <c r="DG20" s="181" t="n"/>
      <c r="DH20" s="181" t="n"/>
      <c r="DI20" s="181" t="n"/>
      <c r="DJ20" s="181" t="n"/>
      <c r="DK20" s="181" t="n"/>
      <c r="DL20" s="181" t="n"/>
      <c r="DM20" s="181" t="n"/>
      <c r="DN20" s="181" t="n"/>
      <c r="DO20" s="181" t="n"/>
      <c r="DP20" s="181" t="n"/>
      <c r="DQ20" s="181" t="n"/>
      <c r="DR20" s="181" t="n"/>
    </row>
    <row r="21" ht="15.75" customHeight="1" s="362">
      <c r="A21" s="184" t="inlineStr">
        <is>
          <t>Marketing</t>
        </is>
      </c>
      <c r="B21" s="193" t="n">
        <v>0.15</v>
      </c>
      <c r="C21" s="191">
        <f>C2*$B$18</f>
        <v/>
      </c>
      <c r="D21" s="195" t="n">
        <v>0</v>
      </c>
      <c r="E21" s="195" t="n">
        <v>0</v>
      </c>
      <c r="F21" s="195" t="n">
        <v>0</v>
      </c>
      <c r="G21" s="195" t="n">
        <v>0</v>
      </c>
      <c r="H21" s="195" t="n">
        <v>0</v>
      </c>
      <c r="I21" s="195" t="n">
        <v>0</v>
      </c>
      <c r="J21" s="195" t="n">
        <v>0</v>
      </c>
      <c r="K21" s="195" t="n">
        <v>0</v>
      </c>
      <c r="L21" s="195" t="n">
        <v>0</v>
      </c>
      <c r="M21" s="195" t="n">
        <v>0</v>
      </c>
      <c r="N21" s="195" t="n">
        <v>0</v>
      </c>
      <c r="O21" s="195" t="n">
        <v>0</v>
      </c>
      <c r="P21" s="195" t="n">
        <v>0</v>
      </c>
      <c r="Q21" s="195" t="n">
        <v>0</v>
      </c>
      <c r="R21" s="174">
        <f>R2*$B$18</f>
        <v/>
      </c>
      <c r="S21" s="175">
        <f>S2*$B$18</f>
        <v/>
      </c>
      <c r="T21" s="175">
        <f>T2*$B$18</f>
        <v/>
      </c>
      <c r="U21" s="175">
        <f>U2*$B$18</f>
        <v/>
      </c>
      <c r="V21" s="175">
        <f>V2*$B$18</f>
        <v/>
      </c>
      <c r="W21" s="175">
        <f>W2*$B$18</f>
        <v/>
      </c>
      <c r="X21" s="175">
        <f>X2*$B$18</f>
        <v/>
      </c>
      <c r="Y21" s="175">
        <f>Y2*$B$18</f>
        <v/>
      </c>
      <c r="Z21" s="175">
        <f>Z2*$B$18</f>
        <v/>
      </c>
      <c r="AA21" s="175">
        <f>AA2*$B$18</f>
        <v/>
      </c>
      <c r="AB21" s="175">
        <f>AB2*$B$18</f>
        <v/>
      </c>
      <c r="AC21" s="175">
        <f>AC2*$B$18</f>
        <v/>
      </c>
      <c r="AD21" s="175">
        <f>AD2*$B$18</f>
        <v/>
      </c>
      <c r="AE21" s="174">
        <f>AE2*$B$18</f>
        <v/>
      </c>
      <c r="AF21" s="175">
        <f>AF2*$B$18</f>
        <v/>
      </c>
      <c r="AG21" s="175">
        <f>AG2*$B$18</f>
        <v/>
      </c>
      <c r="AH21" s="175">
        <f>AH2*$B$18</f>
        <v/>
      </c>
      <c r="AI21" s="175">
        <f>AI2*$B$18</f>
        <v/>
      </c>
      <c r="AJ21" s="175">
        <f>AJ2*$B$18</f>
        <v/>
      </c>
      <c r="AK21" s="175">
        <f>AK2*$B$18</f>
        <v/>
      </c>
      <c r="AL21" s="175">
        <f>AL2*$B$18</f>
        <v/>
      </c>
      <c r="AM21" s="175">
        <f>AM2*$B$18</f>
        <v/>
      </c>
      <c r="AN21" s="175">
        <f>AN2*$B$18</f>
        <v/>
      </c>
      <c r="AO21" s="175">
        <f>AO2*$B$18</f>
        <v/>
      </c>
      <c r="AP21" s="175">
        <f>AP2*$B$18</f>
        <v/>
      </c>
      <c r="AQ21" s="175">
        <f>AQ2*$B$18</f>
        <v/>
      </c>
      <c r="AR21" s="174">
        <f>AR2*$B$18</f>
        <v/>
      </c>
      <c r="AS21" s="175">
        <f>AS2*$B$18</f>
        <v/>
      </c>
      <c r="AT21" s="175">
        <f>AT2*$B$18</f>
        <v/>
      </c>
      <c r="AU21" s="175">
        <f>AU2*$B$18</f>
        <v/>
      </c>
      <c r="AV21" s="175">
        <f>AV2*$B$18</f>
        <v/>
      </c>
      <c r="AW21" s="175">
        <f>AW2*$B$18</f>
        <v/>
      </c>
      <c r="AX21" s="175">
        <f>AX2*$B$18</f>
        <v/>
      </c>
      <c r="AY21" s="175">
        <f>AY2*$B$18</f>
        <v/>
      </c>
      <c r="AZ21" s="175">
        <f>AZ2*$B$18</f>
        <v/>
      </c>
      <c r="BA21" s="175">
        <f>BA2*$B$18</f>
        <v/>
      </c>
      <c r="BB21" s="175">
        <f>BB2*$B$18</f>
        <v/>
      </c>
      <c r="BC21" s="175">
        <f>BC2*$B$18</f>
        <v/>
      </c>
      <c r="BD21" s="175">
        <f>BD2*$B$18</f>
        <v/>
      </c>
      <c r="BE21" s="174">
        <f>BE2*$B$18</f>
        <v/>
      </c>
      <c r="BF21" s="341">
        <f>BF2*$B$18</f>
        <v/>
      </c>
      <c r="BG21" s="341">
        <f>BG2*$B$18</f>
        <v/>
      </c>
      <c r="BH21" s="341">
        <f>BH2*$B$18</f>
        <v/>
      </c>
      <c r="BI21" s="341">
        <f>BI2*$B$18</f>
        <v/>
      </c>
      <c r="BJ21" s="341">
        <f>BJ2*$B$18</f>
        <v/>
      </c>
      <c r="BK21" s="341">
        <f>BK2*$B$18</f>
        <v/>
      </c>
      <c r="BL21" s="341">
        <f>BL2*$B$18</f>
        <v/>
      </c>
      <c r="BM21" s="341">
        <f>BM2*$B$18</f>
        <v/>
      </c>
      <c r="BN21" s="341">
        <f>BN2*$B$18</f>
        <v/>
      </c>
      <c r="BO21" s="341">
        <f>BO2*$B$18</f>
        <v/>
      </c>
      <c r="BP21" s="341">
        <f>BP2*$B$18</f>
        <v/>
      </c>
      <c r="BQ21" s="341">
        <f>BQ2*$B$18</f>
        <v/>
      </c>
      <c r="BR21" s="341" t="n"/>
      <c r="BS21" s="341" t="n"/>
      <c r="BT21" s="341" t="n"/>
      <c r="BU21" s="341" t="n"/>
      <c r="BV21" s="341" t="n"/>
      <c r="BW21" s="341" t="n"/>
      <c r="BX21" s="341" t="n"/>
      <c r="BY21" s="341" t="n"/>
      <c r="BZ21" s="341" t="n"/>
      <c r="CA21" s="341" t="n"/>
      <c r="CB21" s="341" t="n"/>
      <c r="CC21" s="341" t="n"/>
      <c r="CD21" s="341" t="n"/>
      <c r="CE21" s="341" t="n"/>
      <c r="CF21" s="341" t="n"/>
      <c r="CG21" s="341" t="n"/>
      <c r="CH21" s="341" t="n"/>
      <c r="CI21" s="341" t="n"/>
      <c r="CJ21" s="341" t="n"/>
      <c r="CK21" s="341" t="n"/>
      <c r="CL21" s="341" t="n"/>
      <c r="CM21" s="341" t="n"/>
      <c r="CN21" s="341" t="n"/>
      <c r="CO21" s="341" t="n"/>
      <c r="CP21" s="341" t="n"/>
      <c r="CQ21" s="341" t="n"/>
      <c r="CR21" s="341" t="n"/>
      <c r="CS21" s="341" t="n"/>
      <c r="CT21" s="341" t="n"/>
      <c r="CU21" s="341" t="n"/>
      <c r="CV21" s="341" t="n"/>
      <c r="CW21" s="341" t="n"/>
      <c r="CX21" s="341" t="n"/>
      <c r="CY21" s="341" t="n"/>
      <c r="CZ21" s="341" t="n"/>
      <c r="DA21" s="341" t="n"/>
      <c r="DB21" s="341" t="n"/>
      <c r="DC21" s="341" t="n"/>
      <c r="DD21" s="341" t="n"/>
      <c r="DE21" s="341" t="n"/>
      <c r="DF21" s="341" t="n"/>
      <c r="DG21" s="341" t="n"/>
      <c r="DH21" s="341" t="n"/>
      <c r="DI21" s="341" t="n"/>
      <c r="DJ21" s="341" t="n"/>
      <c r="DK21" s="341" t="n"/>
      <c r="DL21" s="341" t="n"/>
      <c r="DM21" s="341" t="n"/>
      <c r="DN21" s="341" t="n"/>
      <c r="DO21" s="341" t="n"/>
      <c r="DP21" s="341" t="n"/>
      <c r="DQ21" s="341" t="n"/>
      <c r="DR21" s="341" t="n"/>
    </row>
    <row r="22" ht="15.75" customHeight="1" s="362">
      <c r="A22" s="341" t="inlineStr">
        <is>
          <t>Charges de personnel</t>
        </is>
      </c>
      <c r="B22" s="196" t="n">
        <v>1</v>
      </c>
      <c r="C22" s="191">
        <f>$B$19*C22</f>
        <v/>
      </c>
      <c r="D22" s="175">
        <f>$B$19*D22</f>
        <v/>
      </c>
      <c r="E22" s="175">
        <f>$B$19*E22</f>
        <v/>
      </c>
      <c r="F22" s="175">
        <f>$B$19*F22</f>
        <v/>
      </c>
      <c r="G22" s="175">
        <f>$B$19*G22</f>
        <v/>
      </c>
      <c r="H22" s="175">
        <f>$B$19*H22</f>
        <v/>
      </c>
      <c r="I22" s="175">
        <f>$B$19*I22</f>
        <v/>
      </c>
      <c r="J22" s="175">
        <f>$B$19*J22</f>
        <v/>
      </c>
      <c r="K22" s="175">
        <f>$B$19*K22</f>
        <v/>
      </c>
      <c r="L22" s="175">
        <f>$B$19*L22</f>
        <v/>
      </c>
      <c r="M22" s="175">
        <f>$B$19*M22</f>
        <v/>
      </c>
      <c r="N22" s="175">
        <f>$B$19*N22</f>
        <v/>
      </c>
      <c r="O22" s="175">
        <f>$B$19*O22</f>
        <v/>
      </c>
      <c r="P22" s="175">
        <f>$B$19*P22</f>
        <v/>
      </c>
      <c r="Q22" s="175">
        <f>$B$19*Q22</f>
        <v/>
      </c>
      <c r="R22" s="174">
        <f>$B$19*R22</f>
        <v/>
      </c>
      <c r="S22" s="175">
        <f>$B$19*S22</f>
        <v/>
      </c>
      <c r="T22" s="175">
        <f>$B$19*T22</f>
        <v/>
      </c>
      <c r="U22" s="175">
        <f>$B$19*U22</f>
        <v/>
      </c>
      <c r="V22" s="175">
        <f>$B$19*V22</f>
        <v/>
      </c>
      <c r="W22" s="175">
        <f>$B$19*W22</f>
        <v/>
      </c>
      <c r="X22" s="175">
        <f>$B$19*X22</f>
        <v/>
      </c>
      <c r="Y22" s="175">
        <f>$B$19*Y22</f>
        <v/>
      </c>
      <c r="Z22" s="175">
        <f>$B$19*Z22</f>
        <v/>
      </c>
      <c r="AA22" s="175">
        <f>$B$19*AA22</f>
        <v/>
      </c>
      <c r="AB22" s="175">
        <f>$B$19*AB22</f>
        <v/>
      </c>
      <c r="AC22" s="175">
        <f>$B$19*AC22</f>
        <v/>
      </c>
      <c r="AD22" s="175">
        <f>$B$19*AD22</f>
        <v/>
      </c>
      <c r="AE22" s="174">
        <f>$B$19*AE22</f>
        <v/>
      </c>
      <c r="AF22" s="175">
        <f>$B$19*AF22</f>
        <v/>
      </c>
      <c r="AG22" s="175">
        <f>$B$19*AG22</f>
        <v/>
      </c>
      <c r="AH22" s="175">
        <f>$B$19*AH22</f>
        <v/>
      </c>
      <c r="AI22" s="175">
        <f>$B$19*AI22</f>
        <v/>
      </c>
      <c r="AJ22" s="175">
        <f>$B$19*AJ22</f>
        <v/>
      </c>
      <c r="AK22" s="175">
        <f>$B$19*AK22</f>
        <v/>
      </c>
      <c r="AL22" s="175">
        <f>$B$19*AL22</f>
        <v/>
      </c>
      <c r="AM22" s="175">
        <f>$B$19*AM22</f>
        <v/>
      </c>
      <c r="AN22" s="175">
        <f>$B$19*AN22</f>
        <v/>
      </c>
      <c r="AO22" s="175">
        <f>$B$19*AO22</f>
        <v/>
      </c>
      <c r="AP22" s="175">
        <f>$B$19*AP22</f>
        <v/>
      </c>
      <c r="AQ22" s="175">
        <f>$B$19*AQ22</f>
        <v/>
      </c>
      <c r="AR22" s="174">
        <f>$B$19*AR22</f>
        <v/>
      </c>
      <c r="AS22" s="175">
        <f>$B$19*AS22</f>
        <v/>
      </c>
      <c r="AT22" s="175">
        <f>$B$19*AT22</f>
        <v/>
      </c>
      <c r="AU22" s="175">
        <f>$B$19*AU22</f>
        <v/>
      </c>
      <c r="AV22" s="175">
        <f>$B$19*AV22</f>
        <v/>
      </c>
      <c r="AW22" s="175">
        <f>$B$19*AW22</f>
        <v/>
      </c>
      <c r="AX22" s="175">
        <f>$B$19*AX22</f>
        <v/>
      </c>
      <c r="AY22" s="175">
        <f>$B$19*AY22</f>
        <v/>
      </c>
      <c r="AZ22" s="175">
        <f>$B$19*AZ22</f>
        <v/>
      </c>
      <c r="BA22" s="175">
        <f>$B$19*BA22</f>
        <v/>
      </c>
      <c r="BB22" s="175">
        <f>$B$19*BB22</f>
        <v/>
      </c>
      <c r="BC22" s="175">
        <f>$B$19*BC22</f>
        <v/>
      </c>
      <c r="BD22" s="175">
        <f>$B$19*BD22</f>
        <v/>
      </c>
      <c r="BE22" s="174">
        <f>$B$19*BE22</f>
        <v/>
      </c>
      <c r="BF22" s="175">
        <f>'Charges de personnel et FG'!BH27</f>
        <v/>
      </c>
      <c r="BG22" s="175">
        <f>'Charges de personnel et FG'!BI27</f>
        <v/>
      </c>
      <c r="BH22" s="175">
        <f>'Charges de personnel et FG'!BJ27</f>
        <v/>
      </c>
      <c r="BI22" s="175">
        <f>'Charges de personnel et FG'!BK27</f>
        <v/>
      </c>
      <c r="BJ22" s="175">
        <f>'Charges de personnel et FG'!BL27</f>
        <v/>
      </c>
      <c r="BK22" s="175">
        <f>'Charges de personnel et FG'!BM27</f>
        <v/>
      </c>
      <c r="BL22" s="175">
        <f>'Charges de personnel et FG'!BN27</f>
        <v/>
      </c>
      <c r="BM22" s="175">
        <f>'Charges de personnel et FG'!BO27</f>
        <v/>
      </c>
      <c r="BN22" s="175">
        <f>'Charges de personnel et FG'!BP27</f>
        <v/>
      </c>
      <c r="BO22" s="175">
        <f>'Charges de personnel et FG'!BQ27</f>
        <v/>
      </c>
      <c r="BP22" s="175">
        <f>'Charges de personnel et FG'!BR27</f>
        <v/>
      </c>
      <c r="BQ22" s="175">
        <f>'Charges de personnel et FG'!BS27</f>
        <v/>
      </c>
      <c r="BR22" s="175">
        <f>'Charges de personnel et FG'!BU27</f>
        <v/>
      </c>
      <c r="BS22" s="175" t="inlineStr">
        <is>
          <t>fonctions support</t>
        </is>
      </c>
      <c r="BT22" s="175" t="n"/>
      <c r="BU22" s="175" t="n"/>
      <c r="BV22" s="175" t="n"/>
      <c r="BW22" s="175" t="n"/>
      <c r="BX22" s="175" t="n"/>
      <c r="BY22" s="175" t="n"/>
      <c r="BZ22" s="175" t="n"/>
      <c r="CA22" s="175" t="n"/>
      <c r="CB22" s="175" t="n"/>
      <c r="CC22" s="175" t="n"/>
      <c r="CD22" s="175" t="n"/>
      <c r="CE22" s="175" t="n"/>
      <c r="CF22" s="175" t="n"/>
      <c r="CG22" s="175" t="n"/>
      <c r="CH22" s="175" t="n"/>
      <c r="CI22" s="175" t="n"/>
      <c r="CJ22" s="175" t="n"/>
      <c r="CK22" s="175" t="n"/>
      <c r="CL22" s="175" t="n"/>
      <c r="CM22" s="175" t="n"/>
      <c r="CN22" s="175" t="n"/>
      <c r="CO22" s="175" t="n"/>
      <c r="CP22" s="175" t="n"/>
      <c r="CQ22" s="175" t="n"/>
      <c r="CR22" s="175" t="n"/>
      <c r="CS22" s="175" t="n"/>
      <c r="CT22" s="175" t="n"/>
      <c r="CU22" s="175" t="n"/>
      <c r="CV22" s="175" t="n"/>
      <c r="CW22" s="175" t="n"/>
      <c r="CX22" s="175" t="n"/>
      <c r="CY22" s="175" t="n"/>
      <c r="CZ22" s="175" t="n"/>
      <c r="DA22" s="175" t="n"/>
      <c r="DB22" s="175" t="n"/>
      <c r="DC22" s="175" t="n"/>
      <c r="DD22" s="175" t="n"/>
      <c r="DE22" s="175" t="n"/>
      <c r="DF22" s="175" t="n"/>
      <c r="DG22" s="175" t="n"/>
      <c r="DH22" s="175" t="n"/>
      <c r="DI22" s="175" t="n"/>
      <c r="DJ22" s="175" t="n"/>
      <c r="DK22" s="175" t="n"/>
      <c r="DL22" s="175" t="n"/>
      <c r="DM22" s="175" t="n"/>
      <c r="DN22" s="175" t="n"/>
      <c r="DO22" s="175" t="n"/>
      <c r="DP22" s="175" t="n"/>
      <c r="DQ22" s="175" t="n"/>
      <c r="DR22" s="175" t="n"/>
    </row>
    <row r="23" ht="15.75" customHeight="1" s="362">
      <c r="A23" s="341" t="inlineStr">
        <is>
          <t>Frais généraux</t>
        </is>
      </c>
      <c r="B23" s="196" t="n"/>
      <c r="C23" s="174">
        <f>'Charges de personnel et FG'!E33</f>
        <v/>
      </c>
      <c r="D23" s="175">
        <f>'Charges de personnel et FG'!F33</f>
        <v/>
      </c>
      <c r="E23" s="175">
        <f>'Charges de personnel et FG'!G33</f>
        <v/>
      </c>
      <c r="F23" s="175">
        <f>'Charges de personnel et FG'!H33</f>
        <v/>
      </c>
      <c r="G23" s="175">
        <f>'Charges de personnel et FG'!I33</f>
        <v/>
      </c>
      <c r="H23" s="175">
        <f>'Charges de personnel et FG'!J33</f>
        <v/>
      </c>
      <c r="I23" s="175">
        <f>'Charges de personnel et FG'!K33</f>
        <v/>
      </c>
      <c r="J23" s="175">
        <f>'Charges de personnel et FG'!L33</f>
        <v/>
      </c>
      <c r="K23" s="175">
        <f>'Charges de personnel et FG'!M33</f>
        <v/>
      </c>
      <c r="L23" s="175">
        <f>'Charges de personnel et FG'!N33</f>
        <v/>
      </c>
      <c r="M23" s="175">
        <f>'Charges de personnel et FG'!O33</f>
        <v/>
      </c>
      <c r="N23" s="175">
        <f>'Charges de personnel et FG'!P33</f>
        <v/>
      </c>
      <c r="O23" s="175">
        <f>'Charges de personnel et FG'!Q33</f>
        <v/>
      </c>
      <c r="P23" s="175">
        <f>'Charges de personnel et FG'!R33</f>
        <v/>
      </c>
      <c r="Q23" s="175">
        <f>'Charges de personnel et FG'!S33</f>
        <v/>
      </c>
      <c r="R23" s="174">
        <f>'Charges de personnel et FG'!T33</f>
        <v/>
      </c>
      <c r="S23" s="175">
        <f>'Charges de personnel et FG'!U33</f>
        <v/>
      </c>
      <c r="T23" s="175">
        <f>'Charges de personnel et FG'!V33</f>
        <v/>
      </c>
      <c r="U23" s="175">
        <f>'Charges de personnel et FG'!W33</f>
        <v/>
      </c>
      <c r="V23" s="175">
        <f>'Charges de personnel et FG'!X33</f>
        <v/>
      </c>
      <c r="W23" s="175">
        <f>'Charges de personnel et FG'!Y33</f>
        <v/>
      </c>
      <c r="X23" s="175">
        <f>'Charges de personnel et FG'!Z33</f>
        <v/>
      </c>
      <c r="Y23" s="175">
        <f>'Charges de personnel et FG'!AA33</f>
        <v/>
      </c>
      <c r="Z23" s="175">
        <f>'Charges de personnel et FG'!AB33</f>
        <v/>
      </c>
      <c r="AA23" s="175">
        <f>'Charges de personnel et FG'!AC33</f>
        <v/>
      </c>
      <c r="AB23" s="175">
        <f>'Charges de personnel et FG'!AD33</f>
        <v/>
      </c>
      <c r="AC23" s="175">
        <f>'Charges de personnel et FG'!AE33</f>
        <v/>
      </c>
      <c r="AD23" s="175">
        <f>'Charges de personnel et FG'!AF33</f>
        <v/>
      </c>
      <c r="AE23" s="174">
        <f>'Charges de personnel et FG'!AG33</f>
        <v/>
      </c>
      <c r="AF23" s="175">
        <f>'Charges de personnel et FG'!AH33</f>
        <v/>
      </c>
      <c r="AG23" s="175">
        <f>'Charges de personnel et FG'!AI33</f>
        <v/>
      </c>
      <c r="AH23" s="175">
        <f>'Charges de personnel et FG'!AJ33</f>
        <v/>
      </c>
      <c r="AI23" s="175">
        <f>'Charges de personnel et FG'!AK33</f>
        <v/>
      </c>
      <c r="AJ23" s="175">
        <f>'Charges de personnel et FG'!AL33</f>
        <v/>
      </c>
      <c r="AK23" s="175">
        <f>'Charges de personnel et FG'!AM33</f>
        <v/>
      </c>
      <c r="AL23" s="175">
        <f>'Charges de personnel et FG'!AN33</f>
        <v/>
      </c>
      <c r="AM23" s="175">
        <f>'Charges de personnel et FG'!AO33</f>
        <v/>
      </c>
      <c r="AN23" s="175">
        <f>'Charges de personnel et FG'!AP33</f>
        <v/>
      </c>
      <c r="AO23" s="175">
        <f>'Charges de personnel et FG'!AQ33</f>
        <v/>
      </c>
      <c r="AP23" s="175">
        <f>'Charges de personnel et FG'!AR33</f>
        <v/>
      </c>
      <c r="AQ23" s="175">
        <f>'Charges de personnel et FG'!AS33</f>
        <v/>
      </c>
      <c r="AR23" s="174">
        <f>'Charges de personnel et FG'!AT33</f>
        <v/>
      </c>
      <c r="AS23" s="175">
        <f>'Charges de personnel et FG'!AU33</f>
        <v/>
      </c>
      <c r="AT23" s="175">
        <f>'Charges de personnel et FG'!AV33</f>
        <v/>
      </c>
      <c r="AU23" s="175">
        <f>'Charges de personnel et FG'!AW33</f>
        <v/>
      </c>
      <c r="AV23" s="175">
        <f>'Charges de personnel et FG'!AX33</f>
        <v/>
      </c>
      <c r="AW23" s="175">
        <f>'Charges de personnel et FG'!AY33</f>
        <v/>
      </c>
      <c r="AX23" s="175">
        <f>'Charges de personnel et FG'!AZ33</f>
        <v/>
      </c>
      <c r="AY23" s="175">
        <f>'Charges de personnel et FG'!BA33</f>
        <v/>
      </c>
      <c r="AZ23" s="175">
        <f>'Charges de personnel et FG'!BB33</f>
        <v/>
      </c>
      <c r="BA23" s="175">
        <f>'Charges de personnel et FG'!BC33</f>
        <v/>
      </c>
      <c r="BB23" s="175">
        <f>'Charges de personnel et FG'!BD33</f>
        <v/>
      </c>
      <c r="BC23" s="175">
        <f>'Charges de personnel et FG'!BE33</f>
        <v/>
      </c>
      <c r="BD23" s="175">
        <f>'Charges de personnel et FG'!BF33</f>
        <v/>
      </c>
      <c r="BE23" s="174">
        <f>'Charges de personnel et FG'!BG33</f>
        <v/>
      </c>
      <c r="BF23" s="175">
        <f>'Charges de personnel et FG'!CY33</f>
        <v/>
      </c>
      <c r="BG23" s="175">
        <f>'Charges de personnel et FG'!CZ33</f>
        <v/>
      </c>
      <c r="BH23" s="175">
        <f>'Charges de personnel et FG'!DA33</f>
        <v/>
      </c>
      <c r="BI23" s="175">
        <f>'Charges de personnel et FG'!DB33</f>
        <v/>
      </c>
      <c r="BJ23" s="175">
        <f>'Charges de personnel et FG'!DC33</f>
        <v/>
      </c>
      <c r="BK23" s="175">
        <f>'Charges de personnel et FG'!DD33</f>
        <v/>
      </c>
      <c r="BL23" s="175">
        <f>'Charges de personnel et FG'!DE33</f>
        <v/>
      </c>
      <c r="BM23" s="175">
        <f>'Charges de personnel et FG'!DF33</f>
        <v/>
      </c>
      <c r="BN23" s="175">
        <f>'Charges de personnel et FG'!DG33</f>
        <v/>
      </c>
      <c r="BO23" s="175">
        <f>'Charges de personnel et FG'!DH33</f>
        <v/>
      </c>
      <c r="BP23" s="175">
        <f>'Charges de personnel et FG'!DI33</f>
        <v/>
      </c>
      <c r="BQ23" s="175">
        <f>'Charges de personnel et FG'!DJ33</f>
        <v/>
      </c>
      <c r="BR23" s="175" t="n"/>
      <c r="BS23" s="175" t="inlineStr">
        <is>
          <t>mettre le prorata en opération</t>
        </is>
      </c>
      <c r="BT23" s="175" t="n"/>
      <c r="BU23" s="175" t="n"/>
      <c r="BV23" s="175" t="n"/>
      <c r="BW23" s="175" t="n"/>
      <c r="BX23" s="175" t="n"/>
      <c r="BY23" s="175" t="n"/>
      <c r="BZ23" s="175" t="n"/>
      <c r="CA23" s="175" t="n"/>
      <c r="CB23" s="175" t="n"/>
      <c r="CC23" s="175" t="n"/>
      <c r="CD23" s="175" t="n"/>
      <c r="CE23" s="175" t="n"/>
      <c r="CF23" s="175" t="n"/>
      <c r="CG23" s="175" t="n"/>
      <c r="CH23" s="175" t="n"/>
      <c r="CI23" s="175" t="n"/>
      <c r="CJ23" s="175" t="n"/>
      <c r="CK23" s="175" t="n"/>
      <c r="CL23" s="175" t="n"/>
      <c r="CM23" s="175" t="n"/>
      <c r="CN23" s="175" t="n"/>
      <c r="CO23" s="175" t="n"/>
      <c r="CP23" s="175" t="n"/>
      <c r="CQ23" s="175" t="n"/>
      <c r="CR23" s="175" t="n"/>
      <c r="CS23" s="175" t="n"/>
      <c r="CT23" s="175" t="n"/>
      <c r="CU23" s="175" t="n"/>
      <c r="CV23" s="175" t="n"/>
      <c r="CW23" s="175" t="n"/>
      <c r="CX23" s="175" t="n"/>
      <c r="CY23" s="175" t="n"/>
      <c r="CZ23" s="175" t="n"/>
      <c r="DA23" s="175" t="n"/>
      <c r="DB23" s="175" t="n"/>
      <c r="DC23" s="175" t="n"/>
      <c r="DD23" s="175" t="n"/>
      <c r="DE23" s="175" t="n"/>
      <c r="DF23" s="175" t="n"/>
      <c r="DG23" s="175" t="n"/>
      <c r="DH23" s="175" t="n"/>
      <c r="DI23" s="175" t="n"/>
      <c r="DJ23" s="175" t="n"/>
      <c r="DK23" s="175" t="n"/>
      <c r="DL23" s="175" t="n"/>
      <c r="DM23" s="175" t="n"/>
      <c r="DN23" s="175" t="n"/>
      <c r="DO23" s="175" t="n"/>
      <c r="DP23" s="175" t="n"/>
      <c r="DQ23" s="175" t="n"/>
      <c r="DR23" s="175" t="n"/>
    </row>
    <row r="24" ht="15.75" customHeight="1" s="362">
      <c r="A24" s="180" t="n"/>
      <c r="B24" s="180" t="n"/>
      <c r="C24" s="191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180" t="n"/>
      <c r="BG24" s="180" t="n"/>
      <c r="BH24" s="180" t="n"/>
      <c r="BI24" s="180" t="n"/>
      <c r="BJ24" s="180" t="n"/>
      <c r="BK24" s="180" t="n"/>
      <c r="BL24" s="180" t="n"/>
      <c r="BM24" s="180" t="n"/>
      <c r="BN24" s="180" t="n"/>
      <c r="BO24" s="180" t="n"/>
      <c r="BP24" s="180" t="n"/>
      <c r="BQ24" s="180" t="n"/>
      <c r="BR24" s="180" t="n"/>
      <c r="BS24" s="180" t="n"/>
      <c r="BT24" s="180" t="n"/>
      <c r="BU24" s="180" t="n"/>
      <c r="BV24" s="180" t="n"/>
      <c r="BW24" s="180" t="n"/>
      <c r="BX24" s="180" t="n"/>
      <c r="BY24" s="180" t="n"/>
      <c r="BZ24" s="180" t="n"/>
      <c r="CA24" s="180" t="n"/>
      <c r="CB24" s="180" t="n"/>
      <c r="CC24" s="180" t="n"/>
      <c r="CD24" s="180" t="n"/>
      <c r="CE24" s="180" t="n"/>
      <c r="CF24" s="180" t="n"/>
      <c r="CG24" s="180" t="n"/>
      <c r="CH24" s="180" t="n"/>
      <c r="CI24" s="180" t="n"/>
      <c r="CJ24" s="180" t="n"/>
      <c r="CK24" s="180" t="n"/>
      <c r="CL24" s="180" t="n"/>
      <c r="CM24" s="180" t="n"/>
      <c r="CN24" s="180" t="n"/>
      <c r="CO24" s="180" t="n"/>
      <c r="CP24" s="180" t="n"/>
      <c r="CQ24" s="180" t="n"/>
      <c r="CR24" s="180" t="n"/>
      <c r="CS24" s="180" t="n"/>
      <c r="CT24" s="180" t="n"/>
      <c r="CU24" s="180" t="n"/>
      <c r="CV24" s="180" t="n"/>
      <c r="CW24" s="180" t="n"/>
      <c r="CX24" s="180" t="n"/>
      <c r="CY24" s="180" t="n"/>
      <c r="CZ24" s="180" t="n"/>
      <c r="DA24" s="180" t="n"/>
      <c r="DB24" s="180" t="n"/>
      <c r="DC24" s="180" t="n"/>
      <c r="DD24" s="180" t="n"/>
      <c r="DE24" s="180" t="n"/>
      <c r="DF24" s="180" t="n"/>
      <c r="DG24" s="180" t="n"/>
      <c r="DH24" s="180" t="n"/>
      <c r="DI24" s="180" t="n"/>
      <c r="DJ24" s="180" t="n"/>
      <c r="DK24" s="180" t="n"/>
      <c r="DL24" s="180" t="n"/>
      <c r="DM24" s="180" t="n"/>
      <c r="DN24" s="180" t="n"/>
      <c r="DO24" s="180" t="n"/>
      <c r="DP24" s="180" t="n"/>
      <c r="DQ24" s="180" t="n"/>
      <c r="DR24" s="180" t="n"/>
    </row>
    <row r="25" ht="20.25" customHeight="1" s="362">
      <c r="A25" s="341" t="inlineStr">
        <is>
          <t>Charges de personnel</t>
        </is>
      </c>
      <c r="B25" s="180" t="n"/>
      <c r="C25" s="48">
        <f>'Charges de personnel et FG'!E27</f>
        <v/>
      </c>
      <c r="D25" s="58">
        <f>'Charges de personnel et FG'!F27</f>
        <v/>
      </c>
      <c r="E25" s="58">
        <f>'Charges de personnel et FG'!G27</f>
        <v/>
      </c>
      <c r="F25" s="58">
        <f>'Charges de personnel et FG'!H27</f>
        <v/>
      </c>
      <c r="G25" s="58">
        <f>'Charges de personnel et FG'!I27</f>
        <v/>
      </c>
      <c r="H25" s="58">
        <f>'Charges de personnel et FG'!J27</f>
        <v/>
      </c>
      <c r="I25" s="58">
        <f>'Charges de personnel et FG'!K27</f>
        <v/>
      </c>
      <c r="J25" s="58">
        <f>'Charges de personnel et FG'!L27</f>
        <v/>
      </c>
      <c r="K25" s="58">
        <f>'Charges de personnel et FG'!M27</f>
        <v/>
      </c>
      <c r="L25" s="58">
        <f>'Charges de personnel et FG'!N27</f>
        <v/>
      </c>
      <c r="M25" s="58">
        <f>'Charges de personnel et FG'!O27</f>
        <v/>
      </c>
      <c r="N25" s="58">
        <f>'Charges de personnel et FG'!P27</f>
        <v/>
      </c>
      <c r="O25" s="58">
        <f>'Charges de personnel et FG'!Q27</f>
        <v/>
      </c>
      <c r="P25" s="58">
        <f>'Charges de personnel et FG'!R27</f>
        <v/>
      </c>
      <c r="Q25" s="58">
        <f>'Charges de personnel et FG'!S27</f>
        <v/>
      </c>
      <c r="R25" s="48">
        <f>'Charges de personnel et FG'!T27</f>
        <v/>
      </c>
      <c r="S25" s="58">
        <f>'Charges de personnel et FG'!U27</f>
        <v/>
      </c>
      <c r="T25" s="58">
        <f>'Charges de personnel et FG'!V27</f>
        <v/>
      </c>
      <c r="U25" s="58">
        <f>'Charges de personnel et FG'!W27</f>
        <v/>
      </c>
      <c r="V25" s="58">
        <f>'Charges de personnel et FG'!X27</f>
        <v/>
      </c>
      <c r="W25" s="58">
        <f>'Charges de personnel et FG'!Y27</f>
        <v/>
      </c>
      <c r="X25" s="58">
        <f>'Charges de personnel et FG'!Z27</f>
        <v/>
      </c>
      <c r="Y25" s="58">
        <f>'Charges de personnel et FG'!AA27</f>
        <v/>
      </c>
      <c r="Z25" s="58">
        <f>'Charges de personnel et FG'!AB27</f>
        <v/>
      </c>
      <c r="AA25" s="58">
        <f>'Charges de personnel et FG'!AC27</f>
        <v/>
      </c>
      <c r="AB25" s="58">
        <f>'Charges de personnel et FG'!AD27</f>
        <v/>
      </c>
      <c r="AC25" s="58">
        <f>'Charges de personnel et FG'!AE27</f>
        <v/>
      </c>
      <c r="AD25" s="58">
        <f>'Charges de personnel et FG'!AF27</f>
        <v/>
      </c>
      <c r="AE25" s="48">
        <f>'Charges de personnel et FG'!AG27</f>
        <v/>
      </c>
      <c r="AF25" s="58">
        <f>'Charges de personnel et FG'!AH27</f>
        <v/>
      </c>
      <c r="AG25" s="58">
        <f>'Charges de personnel et FG'!AI27</f>
        <v/>
      </c>
      <c r="AH25" s="58">
        <f>'Charges de personnel et FG'!AJ27</f>
        <v/>
      </c>
      <c r="AI25" s="58">
        <f>'Charges de personnel et FG'!AK27</f>
        <v/>
      </c>
      <c r="AJ25" s="58">
        <f>'Charges de personnel et FG'!AL27</f>
        <v/>
      </c>
      <c r="AK25" s="58">
        <f>'Charges de personnel et FG'!AM27</f>
        <v/>
      </c>
      <c r="AL25" s="58">
        <f>'Charges de personnel et FG'!AN27</f>
        <v/>
      </c>
      <c r="AM25" s="58">
        <f>'Charges de personnel et FG'!AO27</f>
        <v/>
      </c>
      <c r="AN25" s="58">
        <f>'Charges de personnel et FG'!AP27</f>
        <v/>
      </c>
      <c r="AO25" s="58">
        <f>'Charges de personnel et FG'!AQ27</f>
        <v/>
      </c>
      <c r="AP25" s="58">
        <f>'Charges de personnel et FG'!AR27</f>
        <v/>
      </c>
      <c r="AQ25" s="58">
        <f>'Charges de personnel et FG'!AS27</f>
        <v/>
      </c>
      <c r="AR25" s="48">
        <f>'Charges de personnel et FG'!AT27</f>
        <v/>
      </c>
      <c r="AS25" s="58">
        <f>'Charges de personnel et FG'!AU27</f>
        <v/>
      </c>
      <c r="AT25" s="58">
        <f>'Charges de personnel et FG'!AV27</f>
        <v/>
      </c>
      <c r="AU25" s="58">
        <f>'Charges de personnel et FG'!AW27</f>
        <v/>
      </c>
      <c r="AV25" s="58">
        <f>'Charges de personnel et FG'!AX27</f>
        <v/>
      </c>
      <c r="AW25" s="58">
        <f>'Charges de personnel et FG'!AY27</f>
        <v/>
      </c>
      <c r="AX25" s="58">
        <f>'Charges de personnel et FG'!AZ27</f>
        <v/>
      </c>
      <c r="AY25" s="58">
        <f>'Charges de personnel et FG'!BA27</f>
        <v/>
      </c>
      <c r="AZ25" s="58">
        <f>'Charges de personnel et FG'!BB27</f>
        <v/>
      </c>
      <c r="BA25" s="58">
        <f>'Charges de personnel et FG'!BC27</f>
        <v/>
      </c>
      <c r="BB25" s="58">
        <f>'Charges de personnel et FG'!BD27</f>
        <v/>
      </c>
      <c r="BC25" s="58">
        <f>'Charges de personnel et FG'!BE27</f>
        <v/>
      </c>
      <c r="BD25" s="58">
        <f>'Charges de personnel et FG'!BF27</f>
        <v/>
      </c>
      <c r="BE25" s="48">
        <f>'Charges de personnel et FG'!BG27</f>
        <v/>
      </c>
      <c r="BF25" s="203" t="n"/>
      <c r="BG25" s="203" t="n"/>
      <c r="BH25" s="203" t="n"/>
      <c r="BI25" s="203" t="n"/>
      <c r="BJ25" s="203" t="n"/>
      <c r="BK25" s="203" t="n"/>
      <c r="BL25" s="203" t="n"/>
      <c r="BM25" s="203" t="n"/>
      <c r="BN25" s="203" t="n"/>
      <c r="BO25" s="203" t="n"/>
      <c r="BP25" s="203" t="n"/>
      <c r="BQ25" s="203" t="n"/>
      <c r="BR25" s="203" t="n"/>
      <c r="BS25" s="203" t="n"/>
      <c r="BT25" s="203" t="n"/>
      <c r="BU25" s="203" t="n"/>
      <c r="BV25" s="203" t="n"/>
      <c r="BW25" s="203" t="n"/>
      <c r="BX25" s="203" t="n"/>
      <c r="BY25" s="203" t="n"/>
      <c r="BZ25" s="203" t="n"/>
      <c r="CA25" s="203" t="n"/>
      <c r="CB25" s="203" t="n"/>
      <c r="CC25" s="203" t="n"/>
      <c r="CD25" s="203" t="n"/>
      <c r="CE25" s="203" t="n"/>
      <c r="CF25" s="203" t="n"/>
      <c r="CG25" s="203" t="n"/>
      <c r="CH25" s="203" t="n"/>
      <c r="CI25" s="203" t="n"/>
      <c r="CJ25" s="203" t="n"/>
      <c r="CK25" s="203" t="n"/>
      <c r="CL25" s="203" t="n"/>
      <c r="CM25" s="203" t="n"/>
      <c r="CN25" s="203" t="n"/>
      <c r="CO25" s="203" t="n"/>
      <c r="CP25" s="203" t="n"/>
      <c r="CQ25" s="203" t="n"/>
      <c r="CR25" s="203" t="n"/>
      <c r="CS25" s="203" t="n"/>
      <c r="CT25" s="203" t="n"/>
      <c r="CU25" s="203" t="n"/>
      <c r="CV25" s="203" t="n"/>
      <c r="CW25" s="203" t="n"/>
      <c r="CX25" s="203" t="n"/>
      <c r="CY25" s="203" t="n"/>
      <c r="CZ25" s="203" t="n"/>
      <c r="DA25" s="203" t="n"/>
      <c r="DB25" s="203" t="n"/>
      <c r="DC25" s="203" t="n"/>
      <c r="DD25" s="203" t="n"/>
      <c r="DE25" s="203" t="n"/>
      <c r="DF25" s="203" t="n"/>
      <c r="DG25" s="203" t="n"/>
      <c r="DH25" s="203" t="n"/>
      <c r="DI25" s="203" t="n"/>
      <c r="DJ25" s="203" t="n"/>
      <c r="DK25" s="203" t="n"/>
      <c r="DL25" s="203" t="n"/>
      <c r="DM25" s="203" t="n"/>
      <c r="DN25" s="203" t="n"/>
      <c r="DO25" s="203" t="n"/>
      <c r="DP25" s="203" t="n"/>
      <c r="DQ25" s="203" t="n"/>
      <c r="DR25" s="203" t="n"/>
    </row>
    <row r="26" ht="20.25" customHeight="1" s="362">
      <c r="A26" s="180" t="n"/>
      <c r="B26" s="180" t="n"/>
      <c r="C26" s="191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191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191" t="n"/>
      <c r="AF26" s="203" t="n"/>
      <c r="AG26" s="203" t="n"/>
      <c r="AH26" s="203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191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191" t="n"/>
      <c r="BF26" s="180" t="n"/>
      <c r="BG26" s="180" t="n"/>
      <c r="BH26" s="180" t="n"/>
      <c r="BI26" s="180" t="n"/>
      <c r="BJ26" s="180" t="n"/>
      <c r="BK26" s="180" t="n"/>
      <c r="BL26" s="180" t="n"/>
      <c r="BM26" s="180" t="n"/>
      <c r="BN26" s="180" t="n"/>
      <c r="BO26" s="180" t="n"/>
      <c r="BP26" s="180" t="n"/>
      <c r="BQ26" s="180" t="n"/>
      <c r="BR26" s="180" t="n"/>
      <c r="BS26" s="180" t="n"/>
      <c r="BT26" s="180" t="n"/>
      <c r="BU26" s="180" t="n"/>
      <c r="BV26" s="180" t="n"/>
      <c r="BW26" s="180" t="n"/>
      <c r="BX26" s="180" t="n"/>
      <c r="BY26" s="180" t="n"/>
      <c r="BZ26" s="180" t="n"/>
      <c r="CA26" s="180" t="n"/>
      <c r="CB26" s="180" t="n"/>
      <c r="CC26" s="180" t="n"/>
      <c r="CD26" s="180" t="n"/>
      <c r="CE26" s="180" t="n"/>
      <c r="CF26" s="180" t="n"/>
      <c r="CG26" s="180" t="n"/>
      <c r="CH26" s="180" t="n"/>
      <c r="CI26" s="180" t="n"/>
      <c r="CJ26" s="180" t="n"/>
      <c r="CK26" s="180" t="n"/>
      <c r="CL26" s="180" t="n"/>
      <c r="CM26" s="180" t="n"/>
      <c r="CN26" s="180" t="n"/>
      <c r="CO26" s="180" t="n"/>
      <c r="CP26" s="180" t="n"/>
      <c r="CQ26" s="180" t="n"/>
      <c r="CR26" s="180" t="n"/>
      <c r="CS26" s="180" t="n"/>
      <c r="CT26" s="180" t="n"/>
      <c r="CU26" s="180" t="n"/>
      <c r="CV26" s="180" t="n"/>
      <c r="CW26" s="180" t="n"/>
      <c r="CX26" s="180" t="n"/>
      <c r="CY26" s="180" t="n"/>
      <c r="CZ26" s="180" t="n"/>
      <c r="DA26" s="180" t="n"/>
      <c r="DB26" s="180" t="n"/>
      <c r="DC26" s="180" t="n"/>
      <c r="DD26" s="180" t="n"/>
      <c r="DE26" s="180" t="n"/>
      <c r="DF26" s="180" t="n"/>
      <c r="DG26" s="180" t="n"/>
      <c r="DH26" s="180" t="n"/>
      <c r="DI26" s="180" t="n"/>
      <c r="DJ26" s="180" t="n"/>
      <c r="DK26" s="180" t="n"/>
      <c r="DL26" s="180" t="n"/>
      <c r="DM26" s="180" t="n"/>
      <c r="DN26" s="180" t="n"/>
      <c r="DO26" s="180" t="n"/>
      <c r="DP26" s="180" t="n"/>
      <c r="DQ26" s="180" t="n"/>
      <c r="DR26" s="180" t="n"/>
    </row>
    <row r="27" ht="20.25" customHeight="1" s="362">
      <c r="A27" s="180" t="inlineStr">
        <is>
          <t>Total Charges fixes (hors sous traitance)</t>
        </is>
      </c>
      <c r="B27" s="180" t="n"/>
      <c r="C27" s="191">
        <f>sum(F24:Q24)</f>
        <v/>
      </c>
      <c r="D27" s="175">
        <f>D17+D12+D11</f>
        <v/>
      </c>
      <c r="E27" s="175">
        <f>E17+E12+E11</f>
        <v/>
      </c>
      <c r="F27" s="175">
        <f>F17+F12+F11</f>
        <v/>
      </c>
      <c r="G27" s="175">
        <f>G17+G12+G11</f>
        <v/>
      </c>
      <c r="H27" s="175">
        <f>H17+H12+H11</f>
        <v/>
      </c>
      <c r="I27" s="175">
        <f>I17+I12+I11</f>
        <v/>
      </c>
      <c r="J27" s="175">
        <f>J17+J12+J11</f>
        <v/>
      </c>
      <c r="K27" s="175">
        <f>K17+K12+K11</f>
        <v/>
      </c>
      <c r="L27" s="175">
        <f>L17+L12+L11</f>
        <v/>
      </c>
      <c r="M27" s="175">
        <f>M17+M12+M11</f>
        <v/>
      </c>
      <c r="N27" s="175">
        <f>N17+N12+N11</f>
        <v/>
      </c>
      <c r="O27" s="175">
        <f>O17+O12+O11</f>
        <v/>
      </c>
      <c r="P27" s="175">
        <f>P17+P12+P11</f>
        <v/>
      </c>
      <c r="Q27" s="175">
        <f>Q17+Q12+Q11</f>
        <v/>
      </c>
      <c r="R27" s="191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191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191" t="n"/>
      <c r="AS27" s="203" t="n"/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191" t="n"/>
      <c r="BF27" s="203" t="n"/>
      <c r="BG27" s="203" t="n"/>
      <c r="BH27" s="203" t="n"/>
      <c r="BI27" s="203" t="n"/>
      <c r="BJ27" s="203" t="n"/>
      <c r="BK27" s="203" t="n"/>
      <c r="BL27" s="203" t="n"/>
      <c r="BM27" s="203" t="n"/>
      <c r="BN27" s="203" t="n"/>
      <c r="BO27" s="203" t="n"/>
      <c r="BP27" s="203" t="n"/>
      <c r="BQ27" s="203" t="n"/>
      <c r="BR27" s="203" t="n"/>
      <c r="BS27" s="203" t="n"/>
      <c r="BT27" s="203" t="n"/>
      <c r="BU27" s="203" t="n"/>
      <c r="BV27" s="203" t="n"/>
      <c r="BW27" s="203" t="n"/>
      <c r="BX27" s="203" t="n"/>
      <c r="BY27" s="203" t="n"/>
      <c r="BZ27" s="203" t="n"/>
      <c r="CA27" s="203" t="n"/>
      <c r="CB27" s="203" t="n"/>
      <c r="CC27" s="203" t="n"/>
      <c r="CD27" s="203" t="n"/>
      <c r="CE27" s="203" t="n"/>
      <c r="CF27" s="203" t="n"/>
      <c r="CG27" s="203" t="n"/>
      <c r="CH27" s="203" t="n"/>
      <c r="CI27" s="203" t="n"/>
      <c r="CJ27" s="203" t="n"/>
      <c r="CK27" s="203" t="n"/>
      <c r="CL27" s="203" t="n"/>
      <c r="CM27" s="203" t="n"/>
      <c r="CN27" s="203" t="n"/>
      <c r="CO27" s="203" t="n"/>
      <c r="CP27" s="203" t="n"/>
      <c r="CQ27" s="203" t="n"/>
      <c r="CR27" s="203" t="n"/>
      <c r="CS27" s="203" t="n"/>
      <c r="CT27" s="203" t="n"/>
      <c r="CU27" s="203" t="n"/>
      <c r="CV27" s="203" t="n"/>
      <c r="CW27" s="203" t="n"/>
      <c r="CX27" s="203" t="n"/>
      <c r="CY27" s="203" t="n"/>
      <c r="CZ27" s="203" t="n"/>
      <c r="DA27" s="203" t="n"/>
      <c r="DB27" s="203" t="n"/>
      <c r="DC27" s="203" t="n"/>
      <c r="DD27" s="203" t="n"/>
      <c r="DE27" s="203" t="n"/>
      <c r="DF27" s="203" t="n"/>
      <c r="DG27" s="203" t="n"/>
      <c r="DH27" s="203" t="n"/>
      <c r="DI27" s="203" t="n"/>
      <c r="DJ27" s="203" t="n"/>
      <c r="DK27" s="203" t="n"/>
      <c r="DL27" s="203" t="n"/>
      <c r="DM27" s="203" t="n"/>
      <c r="DN27" s="203" t="n"/>
      <c r="DO27" s="203" t="n"/>
      <c r="DP27" s="203" t="n"/>
      <c r="DQ27" s="203" t="n"/>
      <c r="DR27" s="203" t="n"/>
    </row>
    <row r="28" ht="15.75" customHeight="1" s="362">
      <c r="A28" s="198" t="inlineStr">
        <is>
          <t>Cumul</t>
        </is>
      </c>
      <c r="B28" s="198" t="n"/>
      <c r="C28" s="199" t="n"/>
      <c r="D28" s="202">
        <f>D24</f>
        <v/>
      </c>
      <c r="E28" s="202">
        <f>E24</f>
        <v/>
      </c>
      <c r="F28" s="202">
        <f>F24</f>
        <v/>
      </c>
      <c r="G28" s="202">
        <f>F25+G24</f>
        <v/>
      </c>
      <c r="H28" s="202">
        <f>G25+H24</f>
        <v/>
      </c>
      <c r="I28" s="202">
        <f>H25+I24</f>
        <v/>
      </c>
      <c r="J28" s="202">
        <f>I25+J24</f>
        <v/>
      </c>
      <c r="K28" s="202">
        <f>J25+K24</f>
        <v/>
      </c>
      <c r="L28" s="202">
        <f>K25+L24</f>
        <v/>
      </c>
      <c r="M28" s="202">
        <f>L25+M24</f>
        <v/>
      </c>
      <c r="N28" s="202">
        <f>M25+N24</f>
        <v/>
      </c>
      <c r="O28" s="202">
        <f>N25+O24</f>
        <v/>
      </c>
      <c r="P28" s="202">
        <f>O25+P24</f>
        <v/>
      </c>
      <c r="Q28" s="202">
        <f>P25+Q24</f>
        <v/>
      </c>
      <c r="R28" s="199" t="n"/>
      <c r="S28" s="201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199" t="n"/>
      <c r="AF28" s="201" t="n"/>
      <c r="AG28" s="201" t="n"/>
      <c r="AH28" s="201" t="n"/>
      <c r="AI28" s="201" t="n"/>
      <c r="AJ28" s="201" t="n"/>
      <c r="AK28" s="201" t="n"/>
      <c r="AL28" s="201" t="n"/>
      <c r="AM28" s="201" t="n"/>
      <c r="AN28" s="201" t="n"/>
      <c r="AO28" s="201" t="n"/>
      <c r="AP28" s="201" t="n"/>
      <c r="AQ28" s="201" t="n"/>
      <c r="AR28" s="199" t="n"/>
      <c r="AS28" s="201" t="n"/>
      <c r="AT28" s="201" t="n"/>
      <c r="AU28" s="201" t="n"/>
      <c r="AV28" s="201" t="n"/>
      <c r="AW28" s="201" t="n"/>
      <c r="AX28" s="201" t="n"/>
      <c r="AY28" s="201" t="n"/>
      <c r="AZ28" s="201" t="n"/>
      <c r="BA28" s="201" t="n"/>
      <c r="BB28" s="201" t="n"/>
      <c r="BC28" s="201" t="n"/>
      <c r="BD28" s="201" t="n"/>
      <c r="BE28" s="199" t="n"/>
      <c r="BF28" s="198" t="n"/>
      <c r="BG28" s="198" t="n"/>
      <c r="BH28" s="198" t="n"/>
      <c r="BI28" s="198" t="n"/>
      <c r="BJ28" s="198" t="n"/>
      <c r="BK28" s="198" t="n"/>
      <c r="BL28" s="198" t="n"/>
      <c r="BM28" s="198" t="n"/>
      <c r="BN28" s="198" t="n"/>
      <c r="BO28" s="198" t="n"/>
      <c r="BP28" s="198" t="n"/>
      <c r="BQ28" s="198" t="n"/>
      <c r="BR28" s="198" t="n"/>
      <c r="BS28" s="201" t="n"/>
      <c r="BT28" s="201" t="n"/>
      <c r="BU28" s="201" t="n"/>
      <c r="BV28" s="201" t="n"/>
      <c r="BW28" s="201" t="n"/>
      <c r="BX28" s="201" t="n"/>
      <c r="BY28" s="201" t="n"/>
      <c r="BZ28" s="201" t="n"/>
      <c r="CA28" s="201" t="n"/>
      <c r="CB28" s="201" t="n"/>
      <c r="CC28" s="201" t="n"/>
      <c r="CD28" s="201" t="n"/>
      <c r="CE28" s="201" t="n"/>
      <c r="CF28" s="201" t="n"/>
      <c r="CG28" s="201" t="n"/>
      <c r="CH28" s="201" t="n"/>
      <c r="CI28" s="201" t="n"/>
      <c r="CJ28" s="201" t="n"/>
      <c r="CK28" s="201" t="n"/>
      <c r="CL28" s="201" t="n"/>
      <c r="CM28" s="201" t="n"/>
      <c r="CN28" s="201" t="n"/>
      <c r="CO28" s="201" t="n"/>
      <c r="CP28" s="201" t="n"/>
      <c r="CQ28" s="201" t="n"/>
      <c r="CR28" s="201" t="n"/>
      <c r="CS28" s="201" t="n"/>
      <c r="CT28" s="201" t="n"/>
      <c r="CU28" s="201" t="n"/>
      <c r="CV28" s="201" t="n"/>
      <c r="CW28" s="201" t="n"/>
      <c r="CX28" s="201" t="n"/>
      <c r="CY28" s="201" t="n"/>
      <c r="CZ28" s="201" t="n"/>
      <c r="DA28" s="201" t="n"/>
      <c r="DB28" s="201" t="n"/>
      <c r="DC28" s="201" t="n"/>
      <c r="DD28" s="201" t="n"/>
      <c r="DE28" s="201" t="n"/>
      <c r="DF28" s="201" t="n"/>
      <c r="DG28" s="201" t="n"/>
      <c r="DH28" s="201" t="n"/>
      <c r="DI28" s="201" t="n"/>
      <c r="DJ28" s="201" t="n"/>
      <c r="DK28" s="201" t="n"/>
      <c r="DL28" s="201" t="n"/>
      <c r="DM28" s="201" t="n"/>
      <c r="DN28" s="201" t="n"/>
      <c r="DO28" s="201" t="n"/>
      <c r="DP28" s="201" t="n"/>
      <c r="DQ28" s="201" t="n"/>
      <c r="DR28" s="201" t="n"/>
    </row>
    <row r="29" ht="15.75" customHeight="1" s="362">
      <c r="A29" s="198" t="inlineStr">
        <is>
          <t>Tréso</t>
        </is>
      </c>
      <c r="B29" s="198" t="n"/>
      <c r="C29" s="199" t="n"/>
      <c r="D29" s="202" t="n">
        <v>0</v>
      </c>
      <c r="E29" s="202" t="n">
        <v>0</v>
      </c>
      <c r="F29" s="202" t="n">
        <v>0</v>
      </c>
      <c r="G29" s="202" t="n">
        <v>0</v>
      </c>
      <c r="H29" s="202" t="n">
        <v>0</v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 t="n">
        <v>0</v>
      </c>
      <c r="P29" s="202" t="n">
        <v>0</v>
      </c>
      <c r="Q29" s="202" t="n">
        <v>0</v>
      </c>
      <c r="R29" s="199" t="n"/>
      <c r="S29" s="201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199" t="n"/>
      <c r="AF29" s="201" t="n"/>
      <c r="AG29" s="201" t="n"/>
      <c r="AH29" s="201" t="n"/>
      <c r="AI29" s="201" t="n"/>
      <c r="AJ29" s="201" t="n"/>
      <c r="AK29" s="201" t="n"/>
      <c r="AL29" s="201" t="n"/>
      <c r="AM29" s="201" t="n"/>
      <c r="AN29" s="201" t="n"/>
      <c r="AO29" s="201" t="n"/>
      <c r="AP29" s="201" t="n"/>
      <c r="AQ29" s="201" t="n"/>
      <c r="AR29" s="199" t="n"/>
      <c r="AS29" s="201" t="n"/>
      <c r="AT29" s="201" t="n"/>
      <c r="AU29" s="201" t="n"/>
      <c r="AV29" s="201" t="n"/>
      <c r="AW29" s="201" t="n"/>
      <c r="AX29" s="201" t="n"/>
      <c r="AY29" s="201" t="n"/>
      <c r="AZ29" s="201" t="n"/>
      <c r="BA29" s="201" t="n"/>
      <c r="BB29" s="201" t="n"/>
      <c r="BC29" s="201" t="n"/>
      <c r="BD29" s="201" t="n"/>
      <c r="BE29" s="199" t="n"/>
      <c r="BF29" s="198" t="n"/>
      <c r="BG29" s="198" t="n"/>
      <c r="BH29" s="198" t="n"/>
      <c r="BI29" s="198" t="n"/>
      <c r="BJ29" s="198" t="n"/>
      <c r="BK29" s="198" t="n"/>
      <c r="BL29" s="198" t="n"/>
      <c r="BM29" s="198" t="n"/>
      <c r="BN29" s="198" t="n"/>
      <c r="BO29" s="198" t="n"/>
      <c r="BP29" s="198" t="n"/>
      <c r="BQ29" s="198" t="n"/>
      <c r="BR29" s="198" t="n"/>
      <c r="BS29" s="201" t="n"/>
      <c r="BT29" s="201" t="n"/>
      <c r="BU29" s="201" t="n"/>
      <c r="BV29" s="201" t="n"/>
      <c r="BW29" s="201" t="n"/>
      <c r="BX29" s="201" t="n"/>
      <c r="BY29" s="201" t="n"/>
      <c r="BZ29" s="201" t="n"/>
      <c r="CA29" s="201" t="n"/>
      <c r="CB29" s="201" t="n"/>
      <c r="CC29" s="201" t="n"/>
      <c r="CD29" s="201" t="n"/>
      <c r="CE29" s="201" t="n"/>
      <c r="CF29" s="201" t="n"/>
      <c r="CG29" s="201" t="n"/>
      <c r="CH29" s="201" t="n"/>
      <c r="CI29" s="201" t="n"/>
      <c r="CJ29" s="201" t="n"/>
      <c r="CK29" s="201" t="n"/>
      <c r="CL29" s="201" t="n"/>
      <c r="CM29" s="201" t="n"/>
      <c r="CN29" s="201" t="n"/>
      <c r="CO29" s="201" t="n"/>
      <c r="CP29" s="201" t="n"/>
      <c r="CQ29" s="201" t="n"/>
      <c r="CR29" s="201" t="n"/>
      <c r="CS29" s="201" t="n"/>
      <c r="CT29" s="201" t="n"/>
      <c r="CU29" s="201" t="n"/>
      <c r="CV29" s="201" t="n"/>
      <c r="CW29" s="201" t="n"/>
      <c r="CX29" s="201" t="n"/>
      <c r="CY29" s="201" t="n"/>
      <c r="CZ29" s="201" t="n"/>
      <c r="DA29" s="201" t="n"/>
      <c r="DB29" s="201" t="n"/>
      <c r="DC29" s="201" t="n"/>
      <c r="DD29" s="201" t="n"/>
      <c r="DE29" s="201" t="n"/>
      <c r="DF29" s="201" t="n"/>
      <c r="DG29" s="201" t="n"/>
      <c r="DH29" s="201" t="n"/>
      <c r="DI29" s="201" t="n"/>
      <c r="DJ29" s="201" t="n"/>
      <c r="DK29" s="201" t="n"/>
      <c r="DL29" s="201" t="n"/>
      <c r="DM29" s="201" t="n"/>
      <c r="DN29" s="201" t="n"/>
      <c r="DO29" s="201" t="n"/>
      <c r="DP29" s="201" t="n"/>
      <c r="DQ29" s="201" t="n"/>
      <c r="DR29" s="201" t="n"/>
    </row>
    <row r="30" ht="15.75" customHeight="1" s="362">
      <c r="A30" s="198" t="inlineStr">
        <is>
          <t>Tréso cumulée</t>
        </is>
      </c>
      <c r="B30" s="198" t="n"/>
      <c r="C30" s="199" t="n"/>
      <c r="D30" s="201">
        <f>D26-D25</f>
        <v/>
      </c>
      <c r="E30" s="201">
        <f>E26-E25</f>
        <v/>
      </c>
      <c r="F30" s="201">
        <f>F26-F25</f>
        <v/>
      </c>
      <c r="G30" s="201">
        <f>F27-G24+G26</f>
        <v/>
      </c>
      <c r="H30" s="201">
        <f>G27-H24+H26</f>
        <v/>
      </c>
      <c r="I30" s="201">
        <f>H27-I24+I26</f>
        <v/>
      </c>
      <c r="J30" s="201">
        <f>I27-J24+J26</f>
        <v/>
      </c>
      <c r="K30" s="201">
        <f>J27-K24+K26</f>
        <v/>
      </c>
      <c r="L30" s="201">
        <f>K27-L24+L26</f>
        <v/>
      </c>
      <c r="M30" s="201">
        <f>L27-M24+M26</f>
        <v/>
      </c>
      <c r="N30" s="201">
        <f>M27-N24+N26</f>
        <v/>
      </c>
      <c r="O30" s="201">
        <f>N27-O24+O26</f>
        <v/>
      </c>
      <c r="P30" s="201">
        <f>O27-P24+P26</f>
        <v/>
      </c>
      <c r="Q30" s="201">
        <f>P27-Q24+Q26</f>
        <v/>
      </c>
      <c r="R30" s="199" t="n"/>
      <c r="S30" s="201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199" t="n"/>
      <c r="AF30" s="201" t="n"/>
      <c r="AG30" s="201" t="n"/>
      <c r="AH30" s="201" t="n"/>
      <c r="AI30" s="201" t="n"/>
      <c r="AJ30" s="201" t="n"/>
      <c r="AK30" s="201" t="n"/>
      <c r="AL30" s="201" t="n"/>
      <c r="AM30" s="201" t="n"/>
      <c r="AN30" s="201" t="n"/>
      <c r="AO30" s="201" t="n"/>
      <c r="AP30" s="201" t="n"/>
      <c r="AQ30" s="201" t="n"/>
      <c r="AR30" s="199" t="n"/>
      <c r="AS30" s="201" t="n"/>
      <c r="AT30" s="201" t="n"/>
      <c r="AU30" s="201" t="n"/>
      <c r="AV30" s="201" t="n"/>
      <c r="AW30" s="201" t="n"/>
      <c r="AX30" s="201" t="n"/>
      <c r="AY30" s="201" t="n"/>
      <c r="AZ30" s="201" t="n"/>
      <c r="BA30" s="201" t="n"/>
      <c r="BB30" s="201" t="n"/>
      <c r="BC30" s="201" t="n"/>
      <c r="BD30" s="201" t="n"/>
      <c r="BE30" s="199" t="n"/>
      <c r="BF30" s="198" t="n"/>
      <c r="BG30" s="198" t="n"/>
      <c r="BH30" s="198" t="n"/>
      <c r="BI30" s="198" t="n"/>
      <c r="BJ30" s="198" t="n"/>
      <c r="BK30" s="198" t="n"/>
      <c r="BL30" s="198" t="n"/>
      <c r="BM30" s="198" t="n"/>
      <c r="BN30" s="198" t="n"/>
      <c r="BO30" s="198" t="n"/>
      <c r="BP30" s="198" t="n"/>
      <c r="BQ30" s="198" t="n"/>
      <c r="BR30" s="198" t="n"/>
      <c r="BS30" s="201" t="n"/>
      <c r="BT30" s="201" t="n"/>
      <c r="BU30" s="201" t="n"/>
      <c r="BV30" s="201" t="n"/>
      <c r="BW30" s="201" t="n"/>
      <c r="BX30" s="201" t="n"/>
      <c r="BY30" s="201" t="n"/>
      <c r="BZ30" s="201" t="n"/>
      <c r="CA30" s="201" t="n"/>
      <c r="CB30" s="201" t="n"/>
      <c r="CC30" s="201" t="n"/>
      <c r="CD30" s="201" t="n"/>
      <c r="CE30" s="201" t="n"/>
      <c r="CF30" s="201" t="n"/>
      <c r="CG30" s="201" t="n"/>
      <c r="CH30" s="201" t="n"/>
      <c r="CI30" s="201" t="n"/>
      <c r="CJ30" s="201" t="n"/>
      <c r="CK30" s="201" t="n"/>
      <c r="CL30" s="201" t="n"/>
      <c r="CM30" s="201" t="n"/>
      <c r="CN30" s="201" t="n"/>
      <c r="CO30" s="201" t="n"/>
      <c r="CP30" s="201" t="n"/>
      <c r="CQ30" s="201" t="n"/>
      <c r="CR30" s="201" t="n"/>
      <c r="CS30" s="201" t="n"/>
      <c r="CT30" s="201" t="n"/>
      <c r="CU30" s="201" t="n"/>
      <c r="CV30" s="201" t="n"/>
      <c r="CW30" s="201" t="n"/>
      <c r="CX30" s="201" t="n"/>
      <c r="CY30" s="201" t="n"/>
      <c r="CZ30" s="201" t="n"/>
      <c r="DA30" s="201" t="n"/>
      <c r="DB30" s="201" t="n"/>
      <c r="DC30" s="201" t="n"/>
      <c r="DD30" s="201" t="n"/>
      <c r="DE30" s="201" t="n"/>
      <c r="DF30" s="201" t="n"/>
      <c r="DG30" s="201" t="n"/>
      <c r="DH30" s="201" t="n"/>
      <c r="DI30" s="201" t="n"/>
      <c r="DJ30" s="201" t="n"/>
      <c r="DK30" s="201" t="n"/>
      <c r="DL30" s="201" t="n"/>
      <c r="DM30" s="201" t="n"/>
      <c r="DN30" s="201" t="n"/>
      <c r="DO30" s="201" t="n"/>
      <c r="DP30" s="201" t="n"/>
      <c r="DQ30" s="201" t="n"/>
      <c r="DR30" s="201" t="n"/>
    </row>
    <row r="31">
      <c r="A31" s="180" t="n"/>
      <c r="B31" s="180" t="n"/>
      <c r="C31" s="191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191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  <c r="AD31" s="203" t="n"/>
      <c r="AE31" s="191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191" t="n"/>
      <c r="AS31" s="203" t="n"/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191" t="n"/>
      <c r="BF31" s="180" t="n"/>
      <c r="BG31" s="180" t="n"/>
      <c r="BH31" s="180" t="n"/>
      <c r="BI31" s="180" t="n"/>
      <c r="BJ31" s="180" t="n"/>
      <c r="BK31" s="180" t="n"/>
      <c r="BL31" s="180" t="n"/>
      <c r="BM31" s="180" t="n"/>
      <c r="BN31" s="180" t="n"/>
      <c r="BO31" s="180" t="n"/>
      <c r="BP31" s="180" t="n"/>
      <c r="BQ31" s="180" t="n"/>
      <c r="BR31" s="180" t="n"/>
      <c r="BS31" s="180" t="n"/>
      <c r="BT31" s="180" t="n"/>
      <c r="BU31" s="180" t="n"/>
      <c r="BV31" s="180" t="n"/>
      <c r="BW31" s="180" t="n"/>
      <c r="BX31" s="180" t="n"/>
      <c r="BY31" s="180" t="n"/>
      <c r="BZ31" s="180" t="n"/>
      <c r="CA31" s="180" t="n"/>
      <c r="CB31" s="180" t="n"/>
      <c r="CC31" s="180" t="n"/>
      <c r="CD31" s="180" t="n"/>
      <c r="CE31" s="180" t="n"/>
      <c r="CF31" s="180" t="n"/>
      <c r="CG31" s="180" t="n"/>
      <c r="CH31" s="180" t="n"/>
      <c r="CI31" s="180" t="n"/>
      <c r="CJ31" s="180" t="n"/>
      <c r="CK31" s="180" t="n"/>
      <c r="CL31" s="180" t="n"/>
      <c r="CM31" s="180" t="n"/>
      <c r="CN31" s="180" t="n"/>
      <c r="CO31" s="180" t="n"/>
      <c r="CP31" s="180" t="n"/>
      <c r="CQ31" s="180" t="n"/>
      <c r="CR31" s="180" t="n"/>
      <c r="CS31" s="180" t="n"/>
      <c r="CT31" s="180" t="n"/>
      <c r="CU31" s="180" t="n"/>
      <c r="CV31" s="180" t="n"/>
      <c r="CW31" s="180" t="n"/>
      <c r="CX31" s="180" t="n"/>
      <c r="CY31" s="180" t="n"/>
      <c r="CZ31" s="180" t="n"/>
      <c r="DA31" s="180" t="n"/>
      <c r="DB31" s="180" t="n"/>
      <c r="DC31" s="180" t="n"/>
      <c r="DD31" s="180" t="n"/>
      <c r="DE31" s="180" t="n"/>
      <c r="DF31" s="180" t="n"/>
      <c r="DG31" s="180" t="n"/>
      <c r="DH31" s="180" t="n"/>
      <c r="DI31" s="180" t="n"/>
      <c r="DJ31" s="180" t="n"/>
      <c r="DK31" s="180" t="n"/>
      <c r="DL31" s="180" t="n"/>
      <c r="DM31" s="180" t="n"/>
      <c r="DN31" s="180" t="n"/>
      <c r="DO31" s="180" t="n"/>
      <c r="DP31" s="180" t="n"/>
      <c r="DQ31" s="180" t="n"/>
      <c r="DR31" s="180" t="n"/>
    </row>
    <row r="32">
      <c r="A32" s="344" t="inlineStr">
        <is>
          <t>A</t>
        </is>
      </c>
      <c r="B32" s="344" t="inlineStr">
        <is>
          <t>B</t>
        </is>
      </c>
      <c r="C32" s="204" t="inlineStr">
        <is>
          <t>C</t>
        </is>
      </c>
      <c r="D32" s="205" t="inlineStr">
        <is>
          <t>D</t>
        </is>
      </c>
      <c r="E32" s="205" t="inlineStr">
        <is>
          <t>E</t>
        </is>
      </c>
      <c r="F32" s="205" t="inlineStr">
        <is>
          <t>F</t>
        </is>
      </c>
      <c r="G32" s="205" t="inlineStr">
        <is>
          <t>G</t>
        </is>
      </c>
      <c r="H32" s="205" t="inlineStr">
        <is>
          <t>H</t>
        </is>
      </c>
      <c r="I32" s="205" t="inlineStr">
        <is>
          <t>I</t>
        </is>
      </c>
      <c r="J32" s="205" t="inlineStr">
        <is>
          <t>J</t>
        </is>
      </c>
      <c r="K32" s="324" t="inlineStr">
        <is>
          <t>K</t>
        </is>
      </c>
      <c r="L32" s="324" t="inlineStr">
        <is>
          <t>L</t>
        </is>
      </c>
      <c r="M32" s="206" t="inlineStr">
        <is>
          <t>M</t>
        </is>
      </c>
      <c r="N32" s="208" t="inlineStr">
        <is>
          <t>N</t>
        </is>
      </c>
      <c r="O32" s="208" t="inlineStr">
        <is>
          <t>O</t>
        </is>
      </c>
      <c r="P32" s="208" t="inlineStr">
        <is>
          <t>P</t>
        </is>
      </c>
      <c r="Q32" s="208" t="inlineStr">
        <is>
          <t>Q</t>
        </is>
      </c>
      <c r="R32" s="208" t="inlineStr">
        <is>
          <t>R</t>
        </is>
      </c>
      <c r="S32" s="208" t="inlineStr">
        <is>
          <t>S</t>
        </is>
      </c>
      <c r="T32" s="208" t="inlineStr">
        <is>
          <t>T</t>
        </is>
      </c>
      <c r="U32" s="324" t="inlineStr">
        <is>
          <t>U</t>
        </is>
      </c>
      <c r="V32" s="324" t="inlineStr">
        <is>
          <t>V</t>
        </is>
      </c>
      <c r="W32" s="206" t="inlineStr">
        <is>
          <t>W</t>
        </is>
      </c>
      <c r="X32" s="208" t="inlineStr">
        <is>
          <t>X</t>
        </is>
      </c>
      <c r="Y32" s="208" t="inlineStr">
        <is>
          <t>Y</t>
        </is>
      </c>
      <c r="Z32" s="208" t="inlineStr">
        <is>
          <t>Z</t>
        </is>
      </c>
      <c r="AA32" s="208" t="inlineStr">
        <is>
          <t>AA</t>
        </is>
      </c>
      <c r="AB32" s="208" t="inlineStr">
        <is>
          <t>AB</t>
        </is>
      </c>
      <c r="AC32" s="208" t="inlineStr">
        <is>
          <t>AC</t>
        </is>
      </c>
      <c r="AD32" s="208" t="inlineStr">
        <is>
          <t>AD</t>
        </is>
      </c>
      <c r="AE32" s="324" t="inlineStr">
        <is>
          <t>AE</t>
        </is>
      </c>
      <c r="AF32" s="324" t="inlineStr">
        <is>
          <t>AF</t>
        </is>
      </c>
      <c r="AG32" s="206" t="inlineStr">
        <is>
          <t>AG</t>
        </is>
      </c>
      <c r="AH32" s="208" t="inlineStr">
        <is>
          <t>AH</t>
        </is>
      </c>
      <c r="AI32" s="208" t="inlineStr">
        <is>
          <t>AI</t>
        </is>
      </c>
      <c r="AJ32" s="208" t="inlineStr">
        <is>
          <t>AJ</t>
        </is>
      </c>
      <c r="AK32" s="208" t="inlineStr">
        <is>
          <t>AK</t>
        </is>
      </c>
      <c r="AL32" s="208" t="inlineStr">
        <is>
          <t>AL</t>
        </is>
      </c>
      <c r="AM32" s="208" t="inlineStr">
        <is>
          <t>AM</t>
        </is>
      </c>
      <c r="AN32" s="208" t="inlineStr">
        <is>
          <t>AN</t>
        </is>
      </c>
      <c r="AO32" s="324" t="inlineStr">
        <is>
          <t>AO</t>
        </is>
      </c>
      <c r="AP32" s="324" t="inlineStr">
        <is>
          <t>AP</t>
        </is>
      </c>
      <c r="AQ32" s="206" t="inlineStr">
        <is>
          <t>AQ</t>
        </is>
      </c>
      <c r="AR32" s="208" t="inlineStr">
        <is>
          <t>AR</t>
        </is>
      </c>
      <c r="AS32" s="208" t="inlineStr">
        <is>
          <t>AS</t>
        </is>
      </c>
      <c r="AT32" s="208" t="inlineStr">
        <is>
          <t>AT</t>
        </is>
      </c>
      <c r="AU32" s="208" t="inlineStr">
        <is>
          <t>AU</t>
        </is>
      </c>
      <c r="AV32" s="208" t="inlineStr">
        <is>
          <t>AV</t>
        </is>
      </c>
      <c r="AW32" s="208" t="inlineStr">
        <is>
          <t>AW</t>
        </is>
      </c>
      <c r="AX32" s="208" t="inlineStr">
        <is>
          <t>AX</t>
        </is>
      </c>
      <c r="AY32" s="324" t="inlineStr">
        <is>
          <t>AY</t>
        </is>
      </c>
      <c r="AZ32" s="324" t="inlineStr">
        <is>
          <t>AZ</t>
        </is>
      </c>
      <c r="BA32" s="206" t="inlineStr">
        <is>
          <t>BA</t>
        </is>
      </c>
      <c r="BB32" s="208" t="inlineStr">
        <is>
          <t>BB</t>
        </is>
      </c>
      <c r="BC32" s="208" t="inlineStr">
        <is>
          <t>BC</t>
        </is>
      </c>
      <c r="BD32" s="208" t="inlineStr">
        <is>
          <t>BD</t>
        </is>
      </c>
      <c r="BE32" s="208" t="inlineStr">
        <is>
          <t>BE</t>
        </is>
      </c>
      <c r="BF32" s="208" t="inlineStr">
        <is>
          <t>BF</t>
        </is>
      </c>
      <c r="BG32" s="208" t="inlineStr">
        <is>
          <t>BG</t>
        </is>
      </c>
      <c r="BH32" s="208" t="inlineStr">
        <is>
          <t>BH</t>
        </is>
      </c>
      <c r="BI32" s="324" t="inlineStr">
        <is>
          <t>BI</t>
        </is>
      </c>
      <c r="BJ32" s="324" t="inlineStr">
        <is>
          <t>BJ</t>
        </is>
      </c>
      <c r="BK32" s="206" t="inlineStr">
        <is>
          <t>BK</t>
        </is>
      </c>
      <c r="BL32" s="208" t="inlineStr">
        <is>
          <t>BL</t>
        </is>
      </c>
      <c r="BM32" s="208" t="inlineStr">
        <is>
          <t>BM</t>
        </is>
      </c>
      <c r="BN32" s="208" t="inlineStr">
        <is>
          <t>BN</t>
        </is>
      </c>
      <c r="BO32" s="208" t="inlineStr">
        <is>
          <t>BO</t>
        </is>
      </c>
      <c r="BP32" s="324" t="inlineStr">
        <is>
          <t>BP</t>
        </is>
      </c>
      <c r="BQ32" s="324" t="inlineStr">
        <is>
          <t>BQ</t>
        </is>
      </c>
      <c r="BR32" s="175" t="n"/>
      <c r="BS32" s="175" t="n"/>
      <c r="BT32" s="175" t="n"/>
      <c r="BU32" s="175" t="n"/>
      <c r="BV32" s="175" t="n"/>
      <c r="BW32" s="175" t="n"/>
      <c r="BX32" s="175" t="n"/>
      <c r="BY32" s="175" t="n"/>
      <c r="BZ32" s="175" t="n"/>
      <c r="CA32" s="175" t="n"/>
      <c r="CB32" s="175" t="n"/>
      <c r="CC32" s="174" t="n"/>
      <c r="CD32" s="175" t="n"/>
      <c r="CE32" s="175" t="n"/>
      <c r="CF32" s="175" t="n"/>
      <c r="CG32" s="175" t="n"/>
      <c r="CH32" s="175" t="n"/>
      <c r="CI32" s="175" t="n"/>
      <c r="CJ32" s="175" t="n"/>
      <c r="CK32" s="175" t="n"/>
      <c r="CL32" s="175" t="n"/>
      <c r="CM32" s="175" t="n"/>
      <c r="CN32" s="175" t="n"/>
      <c r="CO32" s="175" t="n"/>
      <c r="CP32" s="174" t="n"/>
      <c r="CQ32" s="175" t="n"/>
      <c r="CR32" s="175" t="n"/>
      <c r="CS32" s="175" t="n"/>
      <c r="CT32" s="175" t="n"/>
      <c r="CU32" s="175" t="n"/>
      <c r="CV32" s="175" t="n"/>
      <c r="CW32" s="175" t="n"/>
      <c r="CX32" s="175" t="n"/>
      <c r="CY32" s="175" t="n"/>
      <c r="CZ32" s="175" t="n"/>
      <c r="DA32" s="175" t="n"/>
      <c r="DB32" s="175" t="n"/>
      <c r="DC32" s="174" t="n"/>
      <c r="DD32" s="193">
        <f>BF19/BF17</f>
        <v/>
      </c>
      <c r="DE32" s="193">
        <f>BG19/BG17</f>
        <v/>
      </c>
      <c r="DF32" s="193">
        <f>BH19/BH17</f>
        <v/>
      </c>
      <c r="DG32" s="193">
        <f>BI19/BI17</f>
        <v/>
      </c>
      <c r="DH32" s="193">
        <f>BJ19/BJ17</f>
        <v/>
      </c>
      <c r="DI32" s="193">
        <f>BK19/BK17</f>
        <v/>
      </c>
      <c r="DJ32" s="193">
        <f>BL19/BL17</f>
        <v/>
      </c>
      <c r="DK32" s="193">
        <f>BM19/BM17</f>
        <v/>
      </c>
      <c r="DL32" s="193">
        <f>BN19/BN17</f>
        <v/>
      </c>
      <c r="DM32" s="193">
        <f>BO19/BO17</f>
        <v/>
      </c>
      <c r="DN32" s="193">
        <f>BP19/BP17</f>
        <v/>
      </c>
      <c r="DO32" s="193">
        <f>BQ19/BQ17</f>
        <v/>
      </c>
      <c r="DP32" s="193" t="n"/>
      <c r="DQ32" s="193" t="n"/>
      <c r="DR32" s="193" t="n"/>
    </row>
    <row r="33">
      <c r="M33" s="208" t="n"/>
      <c r="N33" s="208" t="n"/>
      <c r="O33" s="208" t="n"/>
      <c r="P33" s="208" t="n"/>
      <c r="Q33" s="208" t="n"/>
      <c r="R33" s="206" t="n"/>
      <c r="S33" s="208" t="n"/>
      <c r="T33" s="208" t="n"/>
      <c r="U33" s="208" t="n"/>
      <c r="V33" s="208" t="n"/>
      <c r="W33" s="208" t="n"/>
      <c r="X33" s="208" t="n"/>
      <c r="Y33" s="208" t="n"/>
      <c r="Z33" s="208" t="n"/>
      <c r="AA33" s="208" t="n"/>
      <c r="AB33" s="208" t="n"/>
      <c r="AC33" s="208" t="n"/>
      <c r="AD33" s="208" t="n"/>
      <c r="AE33" s="206" t="n"/>
      <c r="AF33" s="208" t="n"/>
      <c r="AG33" s="208" t="n"/>
      <c r="AH33" s="208" t="n"/>
      <c r="AI33" s="208" t="n"/>
      <c r="AJ33" s="208" t="n"/>
      <c r="AK33" s="208" t="n"/>
      <c r="AL33" s="208" t="n"/>
      <c r="AM33" s="208" t="n"/>
      <c r="AN33" s="208" t="n"/>
      <c r="AO33" s="208" t="n"/>
      <c r="AP33" s="208" t="n"/>
      <c r="AQ33" s="208" t="n"/>
      <c r="AR33" s="206" t="n"/>
      <c r="AS33" s="208" t="n"/>
      <c r="AT33" s="208" t="n"/>
      <c r="AU33" s="208" t="n"/>
      <c r="AV33" s="208" t="n"/>
      <c r="AW33" s="208" t="n"/>
      <c r="AX33" s="208" t="n"/>
      <c r="AY33" s="208" t="n"/>
      <c r="AZ33" s="208" t="n"/>
      <c r="BA33" s="208" t="n"/>
      <c r="BB33" s="208" t="n"/>
      <c r="BC33" s="208" t="n"/>
      <c r="BD33" s="208" t="n"/>
      <c r="BE33" s="206" t="n"/>
    </row>
    <row r="34"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CO35" s="193" t="n"/>
      <c r="CP35" s="193" t="n"/>
      <c r="CQ35" s="193" t="n"/>
      <c r="CR35" s="193" t="n"/>
      <c r="CS35" s="193" t="n"/>
      <c r="CT35" s="193" t="n"/>
      <c r="CU35" s="193" t="n"/>
      <c r="CV35" s="193" t="n"/>
      <c r="CW35" s="193" t="n"/>
      <c r="CX35" s="193" t="n"/>
      <c r="CY35" s="193" t="n"/>
      <c r="CZ35" s="193" t="n"/>
      <c r="DA35" s="193" t="n"/>
      <c r="DB35" s="193" t="n"/>
      <c r="DC35" s="193" t="n"/>
      <c r="DD35" s="193" t="n"/>
      <c r="DE35" s="193" t="n"/>
      <c r="DF35" s="193" t="n"/>
      <c r="DG35" s="193" t="n"/>
      <c r="DH35" s="193" t="n"/>
      <c r="DI35" s="193" t="n"/>
      <c r="DJ35" s="193" t="n"/>
      <c r="DK35" s="193" t="n"/>
      <c r="DL35" s="193" t="n"/>
      <c r="DM35" s="193" t="n"/>
      <c r="DN35" s="193" t="n"/>
      <c r="DO35" s="193" t="n"/>
      <c r="DP35" s="193" t="n"/>
      <c r="DQ35" s="193" t="n"/>
      <c r="DR35" s="193" t="n"/>
    </row>
    <row r="36" ht="15.75" customHeight="1" s="362">
      <c r="CE36" s="193" t="n"/>
      <c r="CF36" s="193" t="n"/>
      <c r="CG36" s="193" t="n"/>
      <c r="CH36" s="193" t="n"/>
      <c r="CI36" s="193" t="n"/>
      <c r="CJ36" s="193" t="n"/>
      <c r="CK36" s="193" t="n"/>
      <c r="CL36" s="193" t="n"/>
      <c r="CM36" s="193" t="n"/>
      <c r="CN36" s="193" t="n"/>
      <c r="CO36" s="193" t="n"/>
      <c r="CP36" s="193" t="n"/>
      <c r="CQ36" s="193" t="n"/>
      <c r="CR36" s="193" t="n"/>
      <c r="CS36" s="193" t="n"/>
      <c r="CT36" s="193" t="n"/>
      <c r="CU36" s="193" t="n"/>
      <c r="CV36" s="193" t="n"/>
      <c r="CW36" s="193" t="n"/>
      <c r="CX36" s="193" t="n"/>
      <c r="CY36" s="193" t="n"/>
      <c r="CZ36" s="193" t="n"/>
      <c r="DA36" s="193" t="n"/>
      <c r="DB36" s="193" t="n"/>
      <c r="DC36" s="193" t="n"/>
      <c r="DD36" s="193" t="n"/>
      <c r="DE36" s="193" t="n"/>
      <c r="DF36" s="193" t="n"/>
      <c r="DG36" s="193" t="n"/>
      <c r="DH36" s="193" t="n"/>
      <c r="DI36" s="193" t="n"/>
      <c r="DJ36" s="193" t="n"/>
      <c r="DK36" s="193" t="n"/>
      <c r="DL36" s="193" t="n"/>
      <c r="DM36" s="193" t="n"/>
      <c r="DN36" s="193" t="n"/>
      <c r="DO36" s="193" t="n"/>
      <c r="DP36" s="193" t="n"/>
      <c r="DQ36" s="193" t="n"/>
      <c r="DR36" s="193" t="n"/>
    </row>
    <row r="37" ht="15.75" customHeight="1" s="362">
      <c r="BU37" s="193" t="n"/>
      <c r="BV37" s="193" t="n"/>
      <c r="BW37" s="193" t="n"/>
      <c r="BX37" s="193" t="n"/>
      <c r="BY37" s="193" t="n"/>
      <c r="BZ37" s="193" t="n"/>
      <c r="CA37" s="193" t="n"/>
      <c r="CB37" s="193" t="n"/>
      <c r="CC37" s="193" t="n"/>
      <c r="CD37" s="193" t="n"/>
      <c r="CE37" s="193" t="n"/>
      <c r="CF37" s="193" t="n"/>
      <c r="CG37" s="193" t="n"/>
      <c r="CH37" s="193" t="n"/>
      <c r="CI37" s="193" t="n"/>
      <c r="CJ37" s="193" t="n"/>
      <c r="CK37" s="193" t="n"/>
      <c r="CL37" s="193" t="n"/>
      <c r="CM37" s="193" t="n"/>
      <c r="CN37" s="193" t="n"/>
      <c r="CO37" s="193" t="n"/>
      <c r="CP37" s="193" t="n"/>
      <c r="CQ37" s="193" t="n"/>
      <c r="CR37" s="193" t="n"/>
      <c r="CS37" s="193" t="n"/>
      <c r="CT37" s="193" t="n"/>
      <c r="CU37" s="193" t="n"/>
      <c r="CV37" s="193" t="n"/>
      <c r="CW37" s="193" t="n"/>
      <c r="CX37" s="193" t="n"/>
      <c r="CY37" s="193" t="n"/>
      <c r="CZ37" s="193" t="n"/>
      <c r="DA37" s="193" t="n"/>
      <c r="DB37" s="193" t="n"/>
      <c r="DC37" s="193" t="n"/>
      <c r="DD37" s="193" t="n"/>
      <c r="DE37" s="193" t="n"/>
      <c r="DF37" s="193" t="n"/>
      <c r="DG37" s="193" t="n"/>
      <c r="DH37" s="193" t="n"/>
      <c r="DI37" s="193" t="n"/>
      <c r="DJ37" s="193" t="n"/>
      <c r="DK37" s="193" t="n"/>
      <c r="DL37" s="193" t="n"/>
      <c r="DM37" s="193" t="n"/>
      <c r="DN37" s="193" t="n"/>
      <c r="DO37" s="193" t="n"/>
      <c r="DP37" s="193" t="n"/>
      <c r="DQ37" s="193" t="n"/>
      <c r="DR37" s="193" t="n"/>
    </row>
    <row r="38" ht="15.75" customHeight="1" s="362">
      <c r="J38" s="208" t="n"/>
      <c r="K38" s="208" t="n"/>
      <c r="L38" s="208" t="n"/>
      <c r="M38" s="203" t="n"/>
      <c r="N38" s="203" t="n"/>
      <c r="O38" s="203" t="n"/>
      <c r="P38" s="203" t="n"/>
      <c r="Q38" s="203" t="n"/>
      <c r="R38" s="191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191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3" t="n"/>
      <c r="AO38" s="203" t="n"/>
      <c r="AP38" s="203" t="n"/>
      <c r="AQ38" s="203" t="n"/>
      <c r="AR38" s="191" t="n"/>
      <c r="AS38" s="203" t="n"/>
      <c r="AT38" s="203" t="n"/>
      <c r="AU38" s="203" t="n"/>
      <c r="AV38" s="203" t="n"/>
      <c r="AW38" s="203" t="n"/>
      <c r="AX38" s="203" t="n"/>
      <c r="AY38" s="203" t="n"/>
      <c r="AZ38" s="203" t="n"/>
      <c r="BA38" s="203" t="n"/>
      <c r="BB38" s="203" t="n"/>
      <c r="BC38" s="203" t="n"/>
      <c r="BD38" s="203" t="n"/>
      <c r="BE38" s="191" t="n"/>
      <c r="BF38" s="180">
        <f>'Charges de personnel et FG'!CY13</f>
        <v/>
      </c>
      <c r="BG38" s="180">
        <f>'Charges de personnel et FG'!CZ13</f>
        <v/>
      </c>
      <c r="BH38" s="180">
        <f>'Charges de personnel et FG'!DA13</f>
        <v/>
      </c>
      <c r="BI38" s="180">
        <f>'Charges de personnel et FG'!DB13</f>
        <v/>
      </c>
      <c r="BJ38" s="180">
        <f>'Charges de personnel et FG'!DC13</f>
        <v/>
      </c>
      <c r="BK38" s="180">
        <f>'Charges de personnel et FG'!DD13</f>
        <v/>
      </c>
      <c r="BL38" s="180">
        <f>'Charges de personnel et FG'!DE13</f>
        <v/>
      </c>
      <c r="BM38" s="180">
        <f>'Charges de personnel et FG'!DF13</f>
        <v/>
      </c>
      <c r="BN38" s="180">
        <f>'Charges de personnel et FG'!DG13</f>
        <v/>
      </c>
      <c r="BO38" s="180">
        <f>'Charges de personnel et FG'!DH13</f>
        <v/>
      </c>
      <c r="BP38" s="180">
        <f>'Charges de personnel et FG'!DI13</f>
        <v/>
      </c>
      <c r="BQ38" s="180">
        <f>'Charges de personnel et FG'!DJ13</f>
        <v/>
      </c>
      <c r="BR38" s="180" t="n"/>
      <c r="BS38" s="180" t="n"/>
      <c r="BT38" s="180" t="n"/>
      <c r="BU38" s="180" t="n"/>
      <c r="BV38" s="180" t="n"/>
      <c r="BW38" s="180" t="n"/>
      <c r="BX38" s="180" t="n"/>
      <c r="BY38" s="180" t="n"/>
      <c r="BZ38" s="180" t="n"/>
      <c r="CA38" s="180" t="n"/>
      <c r="CB38" s="180" t="n"/>
      <c r="CC38" s="180" t="n"/>
      <c r="CD38" s="180" t="n"/>
      <c r="CE38" s="180" t="n"/>
      <c r="CF38" s="180" t="n"/>
      <c r="CG38" s="180" t="n"/>
      <c r="CH38" s="180" t="n"/>
      <c r="CI38" s="180" t="n"/>
      <c r="CJ38" s="180" t="n"/>
      <c r="CK38" s="180" t="n"/>
      <c r="CL38" s="180" t="n"/>
      <c r="CM38" s="180" t="n"/>
      <c r="CN38" s="180" t="n"/>
      <c r="CO38" s="180" t="n"/>
      <c r="CP38" s="180" t="n"/>
      <c r="CQ38" s="180" t="n"/>
      <c r="CR38" s="180" t="n"/>
      <c r="CS38" s="180" t="n"/>
      <c r="CT38" s="180" t="n"/>
      <c r="CU38" s="180" t="n"/>
      <c r="CV38" s="180" t="n"/>
      <c r="CW38" s="180" t="n"/>
      <c r="CX38" s="180" t="n"/>
      <c r="CY38" s="180" t="n"/>
      <c r="CZ38" s="180" t="n"/>
      <c r="DA38" s="180" t="n"/>
      <c r="DB38" s="180" t="n"/>
      <c r="DC38" s="180" t="n"/>
      <c r="DD38" s="180" t="n"/>
      <c r="DE38" s="180" t="n"/>
      <c r="DF38" s="180" t="n"/>
      <c r="DG38" s="180" t="n"/>
      <c r="DH38" s="180" t="n"/>
      <c r="DI38" s="180" t="n"/>
      <c r="DJ38" s="180" t="n"/>
      <c r="DK38" s="180" t="n"/>
      <c r="DL38" s="180" t="n"/>
      <c r="DM38" s="180" t="n"/>
      <c r="DN38" s="180" t="n"/>
      <c r="DO38" s="180" t="n"/>
      <c r="DP38" s="180" t="n"/>
      <c r="DQ38" s="180" t="n"/>
      <c r="DR38" s="180" t="n"/>
    </row>
    <row r="39" ht="15.75" customHeight="1" s="362">
      <c r="B39" s="209" t="n"/>
      <c r="C39" s="174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4" t="n"/>
      <c r="S39" s="175" t="n"/>
      <c r="T39" s="175" t="n"/>
      <c r="U39" s="175" t="n"/>
      <c r="V39" s="175" t="n"/>
      <c r="W39" s="175" t="n"/>
      <c r="X39" s="175" t="n"/>
      <c r="Y39" s="175" t="n"/>
      <c r="Z39" s="175" t="n"/>
      <c r="AA39" s="175" t="n"/>
      <c r="AB39" s="175" t="n"/>
      <c r="AC39" s="175" t="n"/>
      <c r="AD39" s="175" t="n"/>
      <c r="AE39" s="174" t="n"/>
      <c r="AF39" s="175" t="n"/>
      <c r="AG39" s="175" t="n"/>
      <c r="AH39" s="175" t="n"/>
      <c r="AI39" s="175" t="n"/>
      <c r="AJ39" s="175" t="n"/>
      <c r="AK39" s="175" t="n"/>
      <c r="AL39" s="175" t="n"/>
      <c r="AM39" s="175" t="n"/>
      <c r="AN39" s="175" t="n"/>
      <c r="AO39" s="175" t="n"/>
      <c r="AP39" s="175" t="n"/>
      <c r="AQ39" s="175" t="n"/>
      <c r="AR39" s="174" t="n"/>
      <c r="AS39" s="175" t="n"/>
      <c r="AT39" s="175" t="n"/>
      <c r="AU39" s="175" t="n"/>
      <c r="AV39" s="175" t="n"/>
      <c r="AW39" s="175" t="n"/>
      <c r="AX39" s="175" t="n"/>
      <c r="AY39" s="175" t="n"/>
      <c r="AZ39" s="175" t="n"/>
      <c r="BA39" s="175" t="n"/>
      <c r="BB39" s="175" t="n"/>
      <c r="BC39" s="175" t="n"/>
      <c r="BD39" s="175" t="n"/>
      <c r="BE39" s="174" t="n"/>
      <c r="BF39" s="210">
        <f>BF22/BF2</f>
        <v/>
      </c>
      <c r="BG39" s="210">
        <f>BG22/BG2</f>
        <v/>
      </c>
      <c r="BH39" s="210">
        <f>BH22/BH2</f>
        <v/>
      </c>
      <c r="BI39" s="211">
        <f>BI22/BI2</f>
        <v/>
      </c>
      <c r="BJ39" s="211">
        <f>BJ22/BJ2</f>
        <v/>
      </c>
      <c r="BK39" s="211">
        <f>BK22/BK2</f>
        <v/>
      </c>
      <c r="BL39" s="211">
        <f>BL22/BL2</f>
        <v/>
      </c>
      <c r="BM39" s="211">
        <f>BM22/BM2</f>
        <v/>
      </c>
      <c r="BN39" s="211">
        <f>BN22/BN2</f>
        <v/>
      </c>
      <c r="BO39" s="211">
        <f>BO22/BO2</f>
        <v/>
      </c>
      <c r="BP39" s="211">
        <f>BP22/BP2</f>
        <v/>
      </c>
      <c r="BQ39" s="211">
        <f>BQ22/BQ2</f>
        <v/>
      </c>
      <c r="BR39" s="211" t="n"/>
      <c r="BS39" s="211" t="n"/>
      <c r="BT39" s="211" t="n"/>
      <c r="BU39" s="211" t="n"/>
      <c r="BV39" s="211" t="n"/>
      <c r="BW39" s="211" t="n"/>
      <c r="BX39" s="211" t="n"/>
      <c r="BY39" s="211" t="n"/>
      <c r="BZ39" s="211" t="n"/>
      <c r="CA39" s="211" t="n"/>
      <c r="CB39" s="211" t="n"/>
      <c r="CC39" s="211" t="n"/>
      <c r="CD39" s="211" t="n"/>
      <c r="CE39" s="211" t="n"/>
      <c r="CF39" s="211" t="n"/>
      <c r="CG39" s="211" t="n"/>
      <c r="CH39" s="211" t="n"/>
      <c r="CI39" s="211" t="n"/>
      <c r="CJ39" s="211" t="n"/>
      <c r="CK39" s="211" t="n"/>
      <c r="CL39" s="211" t="n"/>
      <c r="CM39" s="211" t="n"/>
      <c r="CN39" s="211" t="n"/>
      <c r="CO39" s="211" t="n"/>
      <c r="CP39" s="211" t="n"/>
      <c r="CQ39" s="211" t="n"/>
      <c r="CR39" s="211" t="n"/>
      <c r="CS39" s="211" t="n"/>
      <c r="CT39" s="211" t="n"/>
      <c r="CU39" s="211" t="n"/>
      <c r="CV39" s="211" t="n"/>
      <c r="CW39" s="211" t="n"/>
      <c r="CX39" s="211" t="n"/>
      <c r="CY39" s="211" t="n"/>
      <c r="CZ39" s="211" t="n"/>
      <c r="DA39" s="211" t="n"/>
      <c r="DB39" s="211" t="n"/>
      <c r="DC39" s="211" t="n"/>
      <c r="DD39" s="211" t="n"/>
      <c r="DE39" s="211" t="n"/>
      <c r="DF39" s="211" t="n"/>
      <c r="DG39" s="211" t="n"/>
      <c r="DH39" s="211" t="n"/>
      <c r="DI39" s="211" t="n"/>
      <c r="DJ39" s="211" t="n"/>
      <c r="DK39" s="211" t="n"/>
      <c r="DL39" s="211" t="n"/>
      <c r="DM39" s="211" t="n"/>
      <c r="DN39" s="211" t="n"/>
      <c r="DO39" s="211" t="n"/>
      <c r="DP39" s="211" t="n"/>
      <c r="DQ39" s="211" t="n"/>
      <c r="DR39" s="211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  <row r="1005">
      <c r="C1005" s="206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6" t="n"/>
      <c r="S1005" s="208" t="n"/>
      <c r="T1005" s="208" t="n"/>
      <c r="U1005" s="208" t="n"/>
      <c r="V1005" s="208" t="n"/>
      <c r="W1005" s="208" t="n"/>
      <c r="X1005" s="208" t="n"/>
      <c r="Y1005" s="208" t="n"/>
      <c r="Z1005" s="208" t="n"/>
      <c r="AA1005" s="208" t="n"/>
      <c r="AB1005" s="208" t="n"/>
      <c r="AC1005" s="208" t="n"/>
      <c r="AD1005" s="208" t="n"/>
      <c r="AE1005" s="206" t="n"/>
      <c r="AF1005" s="208" t="n"/>
      <c r="AG1005" s="208" t="n"/>
      <c r="AH1005" s="208" t="n"/>
      <c r="AI1005" s="208" t="n"/>
      <c r="AJ1005" s="208" t="n"/>
      <c r="AK1005" s="208" t="n"/>
      <c r="AL1005" s="208" t="n"/>
      <c r="AM1005" s="208" t="n"/>
      <c r="AN1005" s="208" t="n"/>
      <c r="AO1005" s="208" t="n"/>
      <c r="AP1005" s="208" t="n"/>
      <c r="AQ1005" s="208" t="n"/>
      <c r="AR1005" s="206" t="n"/>
      <c r="AS1005" s="208" t="n"/>
      <c r="AT1005" s="208" t="n"/>
      <c r="AU1005" s="208" t="n"/>
      <c r="AV1005" s="208" t="n"/>
      <c r="AW1005" s="208" t="n"/>
      <c r="AX1005" s="208" t="n"/>
      <c r="AY1005" s="208" t="n"/>
      <c r="AZ1005" s="208" t="n"/>
      <c r="BA1005" s="208" t="n"/>
      <c r="BB1005" s="208" t="n"/>
      <c r="BC1005" s="208" t="n"/>
      <c r="BD1005" s="208" t="n"/>
      <c r="BE1005" s="206" t="n"/>
    </row>
    <row r="1006">
      <c r="C1006" s="206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6" t="n"/>
      <c r="S1006" s="208" t="n"/>
      <c r="T1006" s="208" t="n"/>
      <c r="U1006" s="208" t="n"/>
      <c r="V1006" s="208" t="n"/>
      <c r="W1006" s="208" t="n"/>
      <c r="X1006" s="208" t="n"/>
      <c r="Y1006" s="208" t="n"/>
      <c r="Z1006" s="208" t="n"/>
      <c r="AA1006" s="208" t="n"/>
      <c r="AB1006" s="208" t="n"/>
      <c r="AC1006" s="208" t="n"/>
      <c r="AD1006" s="208" t="n"/>
      <c r="AE1006" s="206" t="n"/>
      <c r="AF1006" s="208" t="n"/>
      <c r="AG1006" s="208" t="n"/>
      <c r="AH1006" s="208" t="n"/>
      <c r="AI1006" s="208" t="n"/>
      <c r="AJ1006" s="208" t="n"/>
      <c r="AK1006" s="208" t="n"/>
      <c r="AL1006" s="208" t="n"/>
      <c r="AM1006" s="208" t="n"/>
      <c r="AN1006" s="208" t="n"/>
      <c r="AO1006" s="208" t="n"/>
      <c r="AP1006" s="208" t="n"/>
      <c r="AQ1006" s="208" t="n"/>
      <c r="AR1006" s="206" t="n"/>
      <c r="AS1006" s="208" t="n"/>
      <c r="AT1006" s="208" t="n"/>
      <c r="AU1006" s="208" t="n"/>
      <c r="AV1006" s="208" t="n"/>
      <c r="AW1006" s="208" t="n"/>
      <c r="AX1006" s="208" t="n"/>
      <c r="AY1006" s="208" t="n"/>
      <c r="AZ1006" s="208" t="n"/>
      <c r="BA1006" s="208" t="n"/>
      <c r="BB1006" s="208" t="n"/>
      <c r="BC1006" s="208" t="n"/>
      <c r="BD1006" s="208" t="n"/>
      <c r="BE1006" s="206" t="n"/>
    </row>
    <row r="1007">
      <c r="C1007" s="206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6" t="n"/>
      <c r="S1007" s="208" t="n"/>
      <c r="T1007" s="208" t="n"/>
      <c r="U1007" s="208" t="n"/>
      <c r="V1007" s="208" t="n"/>
      <c r="W1007" s="208" t="n"/>
      <c r="X1007" s="208" t="n"/>
      <c r="Y1007" s="208" t="n"/>
      <c r="Z1007" s="208" t="n"/>
      <c r="AA1007" s="208" t="n"/>
      <c r="AB1007" s="208" t="n"/>
      <c r="AC1007" s="208" t="n"/>
      <c r="AD1007" s="208" t="n"/>
      <c r="AE1007" s="206" t="n"/>
      <c r="AF1007" s="208" t="n"/>
      <c r="AG1007" s="208" t="n"/>
      <c r="AH1007" s="208" t="n"/>
      <c r="AI1007" s="208" t="n"/>
      <c r="AJ1007" s="208" t="n"/>
      <c r="AK1007" s="208" t="n"/>
      <c r="AL1007" s="208" t="n"/>
      <c r="AM1007" s="208" t="n"/>
      <c r="AN1007" s="208" t="n"/>
      <c r="AO1007" s="208" t="n"/>
      <c r="AP1007" s="208" t="n"/>
      <c r="AQ1007" s="208" t="n"/>
      <c r="AR1007" s="206" t="n"/>
      <c r="AS1007" s="208" t="n"/>
      <c r="AT1007" s="208" t="n"/>
      <c r="AU1007" s="208" t="n"/>
      <c r="AV1007" s="208" t="n"/>
      <c r="AW1007" s="208" t="n"/>
      <c r="AX1007" s="208" t="n"/>
      <c r="AY1007" s="208" t="n"/>
      <c r="AZ1007" s="208" t="n"/>
      <c r="BA1007" s="208" t="n"/>
      <c r="BB1007" s="208" t="n"/>
      <c r="BC1007" s="208" t="n"/>
      <c r="BD1007" s="208" t="n"/>
      <c r="BE1007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  <c r="H1" t="inlineStr">
        <is>
          <t>FINANCIAL KPIs</t>
        </is>
      </c>
      <c r="K1" t="inlineStr">
        <is>
          <t>VALIDATION RULES</t>
        </is>
      </c>
      <c r="O1" t="inlineStr">
        <is>
          <t>HYPOTHÈSES BUSINESS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  <c r="H2" t="inlineStr">
        <is>
          <t>Métrique</t>
        </is>
      </c>
      <c r="I2" t="inlineStr">
        <is>
          <t>Valeur</t>
        </is>
      </c>
      <c r="K2" t="inlineStr">
        <is>
          <t>Règle</t>
        </is>
      </c>
      <c r="L2" t="inlineStr">
        <is>
          <t>Min</t>
        </is>
      </c>
      <c r="M2" t="inlineStr">
        <is>
          <t>Max</t>
        </is>
      </c>
      <c r="O2" t="inlineStr">
        <is>
          <t>Hypothèse</t>
        </is>
      </c>
      <c r="P2" t="inlineStr">
        <is>
          <t>Valeur</t>
        </is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  <c r="H3" t="inlineStr">
        <is>
          <t>ARR Target M14</t>
        </is>
      </c>
      <c r="I3" t="n">
        <v>800000</v>
      </c>
      <c r="K3" t="inlineStr">
        <is>
          <t>ARR M14</t>
        </is>
      </c>
      <c r="L3" t="n">
        <v>720000</v>
      </c>
      <c r="M3" t="n">
        <v>880000</v>
      </c>
      <c r="O3" t="inlineStr">
        <is>
          <t>Conversion Hackathon→Factory</t>
        </is>
      </c>
      <c r="P3" t="inlineStr">
        <is>
          <t>35.0%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  <c r="H4" t="inlineStr">
        <is>
          <t>ARR Target M11</t>
        </is>
      </c>
      <c r="I4" t="n">
        <v>450000</v>
      </c>
      <c r="K4" t="inlineStr">
        <is>
          <t>ARR M11</t>
        </is>
      </c>
      <c r="L4" t="n">
        <v>400000</v>
      </c>
      <c r="M4" t="inlineStr">
        <is>
          <t>-</t>
        </is>
      </c>
      <c r="O4" t="inlineStr">
        <is>
          <t>Churn Hub Monthly</t>
        </is>
      </c>
      <c r="P4" t="inlineStr">
        <is>
          <t>0.8%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  <c r="H5" t="inlineStr">
        <is>
          <t>Marge Brute Target</t>
        </is>
      </c>
      <c r="I5" t="inlineStr">
        <is>
          <t>70%</t>
        </is>
      </c>
      <c r="K5" t="inlineStr">
        <is>
          <t>Team Size M14</t>
        </is>
      </c>
      <c r="L5" t="n">
        <v>4</v>
      </c>
      <c r="M5" t="n">
        <v>15</v>
      </c>
      <c r="O5" t="inlineStr">
        <is>
          <t>Launch Hub</t>
        </is>
      </c>
      <c r="P5" t="inlineStr">
        <is>
          <t>M8</t>
        </is>
      </c>
    </row>
    <row r="6" ht="13.5" customHeight="1" s="362">
      <c r="G6" s="324" t="inlineStr">
        <is>
          <t>ARPA annuel en K (Enterprise Hub)</t>
        </is>
      </c>
      <c r="H6" t="inlineStr">
        <is>
          <t>EBITDA Margin Target</t>
        </is>
      </c>
      <c r="I6" t="inlineStr">
        <is>
          <t>-15%</t>
        </is>
      </c>
      <c r="K6" t="inlineStr">
        <is>
          <t>Burn Monthly</t>
        </is>
      </c>
      <c r="L6" t="inlineStr">
        <is>
          <t>-</t>
        </is>
      </c>
      <c r="M6" t="n">
        <v>60000</v>
      </c>
      <c r="O6" t="inlineStr">
        <is>
          <t>Délai Factory (mois)</t>
        </is>
      </c>
      <c r="P6" t="n">
        <v>2</v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  <c r="H7" t="inlineStr">
        <is>
          <t>Min Cash Runway (mois)</t>
        </is>
      </c>
      <c r="I7" t="n">
        <v>12</v>
      </c>
      <c r="K7" t="inlineStr">
        <is>
          <t>Cash Balance Min</t>
        </is>
      </c>
      <c r="L7" t="n">
        <v>50000</v>
      </c>
      <c r="M7" t="inlineStr">
        <is>
          <t>-</t>
        </is>
      </c>
      <c r="O7" t="inlineStr">
        <is>
          <t>Tier Starter %</t>
        </is>
      </c>
      <c r="P7" t="inlineStr">
        <is>
          <t>60.0%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  <c r="H8" t="inlineStr">
        <is>
          <t>Burn Rate Max (€/mois)</t>
        </is>
      </c>
      <c r="I8" t="n">
        <v>50000</v>
      </c>
      <c r="K8" t="inlineStr">
        <is>
          <t>Conversion Hackathon→Factory</t>
        </is>
      </c>
      <c r="L8" t="inlineStr">
        <is>
          <t>25.0%</t>
        </is>
      </c>
      <c r="M8" t="inlineStr">
        <is>
          <t>-</t>
        </is>
      </c>
      <c r="O8" t="inlineStr">
        <is>
          <t>Tier Business %</t>
        </is>
      </c>
      <c r="P8" t="inlineStr">
        <is>
          <t>30.0%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  <c r="H9" t="inlineStr">
        <is>
          <t>Target LTV/CAC</t>
        </is>
      </c>
      <c r="I9" t="n">
        <v>8</v>
      </c>
      <c r="K9" t="inlineStr">
        <is>
          <t>Churn Hub Monthly Max</t>
        </is>
      </c>
      <c r="L9" t="inlineStr">
        <is>
          <t>-</t>
        </is>
      </c>
      <c r="M9" t="inlineStr">
        <is>
          <t>1.5%</t>
        </is>
      </c>
      <c r="O9" t="inlineStr">
        <is>
          <t>Tier Enterprise %</t>
        </is>
      </c>
      <c r="P9" t="inlineStr">
        <is>
          <t>10.0%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  <c r="H10" t="inlineStr">
        <is>
          <t>Max Churn Annual</t>
        </is>
      </c>
      <c r="I10" t="inlineStr">
        <is>
          <t>15.0%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T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0</v>
      </c>
      <c r="N11" s="249" t="n">
        <v>0</v>
      </c>
      <c r="O11" s="249" t="n">
        <v>0</v>
      </c>
      <c r="P11" s="249" t="n">
        <v>0</v>
      </c>
      <c r="Q11" s="249" t="n">
        <v>0</v>
      </c>
      <c r="R11" s="257">
        <f>SUM(S11:AD11)</f>
        <v/>
      </c>
      <c r="S11" s="249" t="n">
        <v>0</v>
      </c>
      <c r="T11" s="249" t="n">
        <v>0</v>
      </c>
      <c r="U11" s="249" t="n">
        <v>0</v>
      </c>
      <c r="V11" s="249" t="n">
        <v>0</v>
      </c>
      <c r="W11" s="249" t="n">
        <v>0</v>
      </c>
      <c r="X11" s="249" t="n">
        <v>0</v>
      </c>
      <c r="Y11" s="249" t="n">
        <v>0</v>
      </c>
      <c r="Z11" s="249" t="n">
        <v>0</v>
      </c>
      <c r="AA11" s="249" t="n">
        <v>0</v>
      </c>
      <c r="AB11" s="249" t="n">
        <v>0</v>
      </c>
      <c r="AC11" s="249" t="n">
        <v>0</v>
      </c>
      <c r="AD11" s="249" t="n">
        <v>0</v>
      </c>
      <c r="AE11" s="257">
        <f>SUM(AF11:AQ11)</f>
        <v/>
      </c>
      <c r="AF11" s="249" t="n">
        <v>0</v>
      </c>
      <c r="AG11" s="249" t="n">
        <v>0</v>
      </c>
      <c r="AH11" s="249" t="n">
        <v>0</v>
      </c>
      <c r="AI11" s="249" t="n">
        <v>0</v>
      </c>
      <c r="AJ11" s="249" t="n">
        <v>0</v>
      </c>
      <c r="AK11" s="249" t="n">
        <v>0</v>
      </c>
      <c r="AL11" s="249" t="n">
        <v>0</v>
      </c>
      <c r="AM11" s="249" t="n">
        <v>0</v>
      </c>
      <c r="AN11" s="249" t="n">
        <v>0</v>
      </c>
      <c r="AO11" s="249" t="n">
        <v>0</v>
      </c>
      <c r="AP11" s="249" t="n">
        <v>0</v>
      </c>
      <c r="AQ11" s="249" t="n">
        <v>0</v>
      </c>
      <c r="AR11" s="257">
        <f>SUM(AS11:BD11)</f>
        <v/>
      </c>
      <c r="AS11" s="249" t="n">
        <v>0</v>
      </c>
      <c r="AT11" s="249" t="n">
        <v>0</v>
      </c>
      <c r="AU11" s="249" t="n">
        <v>0</v>
      </c>
      <c r="AV11" s="249" t="n">
        <v>0</v>
      </c>
      <c r="AW11" s="249" t="n">
        <v>0</v>
      </c>
      <c r="AX11" s="249" t="n">
        <v>0</v>
      </c>
      <c r="AY11" s="249" t="n">
        <v>0</v>
      </c>
      <c r="AZ11" s="249" t="n">
        <v>0</v>
      </c>
      <c r="BA11" s="249" t="n">
        <v>0</v>
      </c>
      <c r="BB11" s="249" t="n">
        <v>0</v>
      </c>
      <c r="BC11" s="249" t="n">
        <v>0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0</v>
      </c>
      <c r="T13" s="258">
        <f>T10</f>
        <v/>
      </c>
      <c r="U13" s="258" t="n">
        <v>0</v>
      </c>
      <c r="V13" s="258" t="n">
        <v>0</v>
      </c>
      <c r="W13" s="258">
        <f>W10</f>
        <v/>
      </c>
      <c r="X13" s="258" t="n">
        <v>0</v>
      </c>
      <c r="Y13" s="258">
        <f>Y10</f>
        <v/>
      </c>
      <c r="Z13" s="258">
        <f>Z10</f>
        <v/>
      </c>
      <c r="AA13" s="258" t="n">
        <v>0</v>
      </c>
      <c r="AB13" s="258" t="n">
        <v>0</v>
      </c>
      <c r="AC13" s="258" t="n">
        <v>0</v>
      </c>
      <c r="AD13" s="258" t="n">
        <v>0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0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0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0</v>
      </c>
      <c r="AY15" s="258" t="n">
        <v>0</v>
      </c>
      <c r="AZ15" s="258">
        <f>AZ12+AY15</f>
        <v/>
      </c>
      <c r="BA15" s="258" t="n">
        <v>0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800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800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800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43" t="n">
        <v>0</v>
      </c>
      <c r="O5" s="343" t="n">
        <v>0</v>
      </c>
      <c r="P5" s="343" t="n">
        <v>0</v>
      </c>
      <c r="Q5" s="343" t="n">
        <v>0</v>
      </c>
      <c r="R5" s="343" t="n">
        <v>0</v>
      </c>
      <c r="S5" s="343" t="n">
        <v>0</v>
      </c>
      <c r="T5" s="293">
        <f>AVERAGE(U5:AF5)</f>
        <v/>
      </c>
      <c r="U5" s="343" t="n">
        <v>0</v>
      </c>
      <c r="V5" s="343" t="n">
        <v>0</v>
      </c>
      <c r="W5" s="343" t="n">
        <v>0</v>
      </c>
      <c r="X5" s="343" t="n">
        <v>0</v>
      </c>
      <c r="Y5" s="343" t="n">
        <v>0</v>
      </c>
      <c r="Z5" s="343" t="n">
        <v>0</v>
      </c>
      <c r="AA5" s="343" t="n">
        <v>0</v>
      </c>
      <c r="AB5" s="343" t="n">
        <v>0</v>
      </c>
      <c r="AC5" s="343" t="n">
        <v>0</v>
      </c>
      <c r="AD5" s="343" t="n">
        <v>0</v>
      </c>
      <c r="AE5" s="343" t="n">
        <v>0</v>
      </c>
      <c r="AF5" s="343" t="n">
        <v>0</v>
      </c>
      <c r="AG5" s="293">
        <f>AVERAGE(AH5:AS5)</f>
        <v/>
      </c>
      <c r="AH5" s="343" t="n">
        <v>0</v>
      </c>
      <c r="AI5" s="343" t="n">
        <v>0</v>
      </c>
      <c r="AJ5" s="343" t="n">
        <v>0</v>
      </c>
      <c r="AK5" s="343" t="n">
        <v>0</v>
      </c>
      <c r="AL5" s="343" t="n">
        <v>0</v>
      </c>
      <c r="AM5" s="343" t="n">
        <v>0</v>
      </c>
      <c r="AN5" s="343" t="n">
        <v>0</v>
      </c>
      <c r="AO5" s="343" t="n">
        <v>0</v>
      </c>
      <c r="AP5" s="343" t="n">
        <v>0</v>
      </c>
      <c r="AQ5" s="343" t="n">
        <v>0</v>
      </c>
      <c r="AR5" s="343" t="n">
        <v>0</v>
      </c>
      <c r="AS5" s="343" t="n">
        <v>0</v>
      </c>
      <c r="AT5" s="293">
        <f>AVERAGE(AU5:BF5)</f>
        <v/>
      </c>
      <c r="AU5" s="343" t="n">
        <v>0</v>
      </c>
      <c r="AV5" s="343" t="n">
        <v>0</v>
      </c>
      <c r="AW5" s="343" t="n">
        <v>0</v>
      </c>
      <c r="AX5" s="343" t="n">
        <v>0</v>
      </c>
      <c r="AY5" s="343" t="n">
        <v>0</v>
      </c>
      <c r="AZ5" s="343" t="n">
        <v>0</v>
      </c>
      <c r="BA5" s="343" t="n">
        <v>0</v>
      </c>
      <c r="BB5" s="343" t="n">
        <v>0</v>
      </c>
      <c r="BC5" s="343" t="n">
        <v>0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600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100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300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500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0</v>
      </c>
      <c r="T5" s="180" t="n">
        <v>0</v>
      </c>
      <c r="U5" s="180" t="n">
        <v>0</v>
      </c>
      <c r="V5" s="180" t="n">
        <v>0</v>
      </c>
      <c r="W5" s="180" t="n">
        <v>0</v>
      </c>
      <c r="X5" s="180" t="n">
        <v>0</v>
      </c>
      <c r="Y5" s="180" t="n">
        <v>0</v>
      </c>
      <c r="Z5" s="180" t="n">
        <v>0</v>
      </c>
      <c r="AA5" s="180" t="n">
        <v>0</v>
      </c>
      <c r="AB5" s="180" t="n">
        <v>0</v>
      </c>
      <c r="AC5" s="180" t="n">
        <v>0</v>
      </c>
      <c r="AD5" s="180" t="n">
        <v>0</v>
      </c>
      <c r="AE5" s="333">
        <f>SUM(AF5:AQ5)</f>
        <v/>
      </c>
      <c r="AF5" s="180" t="n">
        <v>0</v>
      </c>
      <c r="AG5" s="180" t="n">
        <v>0</v>
      </c>
      <c r="AH5" s="180" t="n">
        <v>0</v>
      </c>
      <c r="AI5" s="180" t="n">
        <v>0</v>
      </c>
      <c r="AJ5" s="180" t="n">
        <v>0</v>
      </c>
      <c r="AK5" s="180" t="n">
        <v>0</v>
      </c>
      <c r="AL5" s="180" t="n">
        <v>0</v>
      </c>
      <c r="AM5" s="180" t="n">
        <v>0</v>
      </c>
      <c r="AN5" s="180" t="n">
        <v>0</v>
      </c>
      <c r="AO5" s="180" t="n">
        <v>0</v>
      </c>
      <c r="AP5" s="180" t="n">
        <v>0</v>
      </c>
      <c r="AQ5" s="180" t="n">
        <v>0</v>
      </c>
      <c r="AR5" s="333">
        <f>SUM(AS5:BD5)</f>
        <v/>
      </c>
      <c r="AS5" s="180" t="n">
        <v>0</v>
      </c>
      <c r="AT5" s="180" t="n">
        <v>0</v>
      </c>
      <c r="AU5" s="180" t="n">
        <v>0</v>
      </c>
      <c r="AV5" s="180" t="n">
        <v>0</v>
      </c>
      <c r="AW5" s="180" t="n">
        <v>0</v>
      </c>
      <c r="AX5" s="180" t="n">
        <v>0</v>
      </c>
      <c r="AY5" s="180" t="n">
        <v>0</v>
      </c>
      <c r="AZ5" s="180" t="n">
        <v>0</v>
      </c>
      <c r="BA5" s="180" t="n">
        <v>0</v>
      </c>
      <c r="BB5" s="180" t="n">
        <v>0</v>
      </c>
      <c r="BC5" s="180" t="n">
        <v>0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t="inlineStr">
        <is>
          <t>Github</t>
        </is>
      </c>
      <c r="B12" t="inlineStr">
        <is>
          <t>20€/user (min 2)</t>
        </is>
      </c>
    </row>
    <row r="13" ht="15.75" customHeight="1" s="362">
      <c r="A13" t="inlineStr">
        <is>
          <t>Analytics</t>
        </is>
      </c>
      <c r="B13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t="n">
        <v>32600000</v>
      </c>
      <c r="E8" t="n">
        <v>4000000</v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t="inlineStr">
        <is>
          <t>CAP TABLE - DILUTION PROGRESSIVE</t>
        </is>
      </c>
    </row>
    <row r="16">
      <c r="A16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t="inlineStr">
        <is>
          <t>Post Pre-Seed (avant Seed)</t>
        </is>
      </c>
      <c r="B18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t="inlineStr">
        <is>
          <t>Post Seed</t>
        </is>
      </c>
      <c r="B19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t="inlineStr">
        <is>
          <t>Post Series A</t>
        </is>
      </c>
      <c r="B2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t="inlineStr">
        <is>
          <t>Mois</t>
        </is>
      </c>
      <c r="B26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t="inlineStr">
        <is>
          <t>M1</t>
        </is>
      </c>
      <c r="B27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t="inlineStr">
        <is>
          <t>M6</t>
        </is>
      </c>
      <c r="B28" s="242" t="n">
        <v>500000</v>
      </c>
      <c r="C28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t="inlineStr">
        <is>
          <t>M12</t>
        </is>
      </c>
      <c r="B29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t="inlineStr">
        <is>
          <t>M18</t>
        </is>
      </c>
      <c r="B3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t="inlineStr">
        <is>
          <t>M36</t>
        </is>
      </c>
      <c r="B31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t="inlineStr">
        <is>
          <t>M48</t>
        </is>
      </c>
      <c r="B32" t="n">
        <v>6000000</v>
      </c>
      <c r="C32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ET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t="n">
        <v>5000</v>
      </c>
      <c r="F3" s="343" t="inlineStr">
        <is>
          <t>2027</t>
        </is>
      </c>
      <c r="G3" s="343" t="n">
        <v>10000</v>
      </c>
      <c r="H3" s="343" t="inlineStr">
        <is>
          <t>2028</t>
        </is>
      </c>
      <c r="I3" s="343" t="n">
        <v>15000</v>
      </c>
      <c r="J3" s="343" t="inlineStr">
        <is>
          <t>2029</t>
        </is>
      </c>
      <c r="K3" s="343" t="n">
        <v>20000</v>
      </c>
      <c r="L3" s="343" t="n">
        <v>500</v>
      </c>
      <c r="M3" s="343" t="n">
        <v>500</v>
      </c>
      <c r="N3" s="357">
        <f>SUM(B3:M3)</f>
        <v/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40" customWidth="1" style="362" min="2" max="2"/>
  </cols>
  <sheetData>
    <row r="1">
      <c r="A1" s="373" t="inlineStr">
        <is>
          <t>CASH FLOW STATEMENT</t>
        </is>
      </c>
    </row>
    <row r="2">
      <c r="A2" t="inlineStr">
        <is>
          <t>Catégorie</t>
        </is>
      </c>
      <c r="B2" t="inlineStr">
        <is>
          <t>Description</t>
        </is>
      </c>
      <c r="C2" t="inlineStr">
        <is>
          <t>M1</t>
        </is>
      </c>
      <c r="D2" t="inlineStr">
        <is>
          <t>M2</t>
        </is>
      </c>
      <c r="E2" t="inlineStr">
        <is>
          <t>M3</t>
        </is>
      </c>
      <c r="F2" t="inlineStr">
        <is>
          <t>M4</t>
        </is>
      </c>
      <c r="G2" t="inlineStr">
        <is>
          <t>M5</t>
        </is>
      </c>
      <c r="H2" t="inlineStr">
        <is>
          <t>M6</t>
        </is>
      </c>
      <c r="I2" t="inlineStr">
        <is>
          <t>M7</t>
        </is>
      </c>
      <c r="J2" t="inlineStr">
        <is>
          <t>M8</t>
        </is>
      </c>
      <c r="K2" t="inlineStr">
        <is>
          <t>M9</t>
        </is>
      </c>
      <c r="L2" t="inlineStr">
        <is>
          <t>M10</t>
        </is>
      </c>
      <c r="M2" t="inlineStr">
        <is>
          <t>M11</t>
        </is>
      </c>
      <c r="N2" t="inlineStr">
        <is>
          <t>M12</t>
        </is>
      </c>
      <c r="O2" t="inlineStr">
        <is>
          <t>M13</t>
        </is>
      </c>
      <c r="P2" t="inlineStr">
        <is>
          <t>M14</t>
        </is>
      </c>
      <c r="Q2" t="inlineStr">
        <is>
          <t>M15</t>
        </is>
      </c>
      <c r="R2" t="inlineStr">
        <is>
          <t>M16</t>
        </is>
      </c>
      <c r="S2" t="inlineStr">
        <is>
          <t>M17</t>
        </is>
      </c>
      <c r="T2" t="inlineStr">
        <is>
          <t>M18</t>
        </is>
      </c>
      <c r="U2" t="inlineStr">
        <is>
          <t>M19</t>
        </is>
      </c>
      <c r="V2" t="inlineStr">
        <is>
          <t>M20</t>
        </is>
      </c>
      <c r="W2" t="inlineStr">
        <is>
          <t>M21</t>
        </is>
      </c>
      <c r="X2" t="inlineStr">
        <is>
          <t>M22</t>
        </is>
      </c>
      <c r="Y2" t="inlineStr">
        <is>
          <t>M23</t>
        </is>
      </c>
      <c r="Z2" t="inlineStr">
        <is>
          <t>M24</t>
        </is>
      </c>
      <c r="AA2" t="inlineStr">
        <is>
          <t>M25</t>
        </is>
      </c>
      <c r="AB2" t="inlineStr">
        <is>
          <t>M26</t>
        </is>
      </c>
      <c r="AC2" t="inlineStr">
        <is>
          <t>M27</t>
        </is>
      </c>
      <c r="AD2" t="inlineStr">
        <is>
          <t>M28</t>
        </is>
      </c>
      <c r="AE2" t="inlineStr">
        <is>
          <t>M29</t>
        </is>
      </c>
      <c r="AF2" t="inlineStr">
        <is>
          <t>M30</t>
        </is>
      </c>
      <c r="AG2" t="inlineStr">
        <is>
          <t>M31</t>
        </is>
      </c>
      <c r="AH2" t="inlineStr">
        <is>
          <t>M32</t>
        </is>
      </c>
      <c r="AI2" t="inlineStr">
        <is>
          <t>M33</t>
        </is>
      </c>
      <c r="AJ2" t="inlineStr">
        <is>
          <t>M34</t>
        </is>
      </c>
      <c r="AK2" t="inlineStr">
        <is>
          <t>M35</t>
        </is>
      </c>
      <c r="AL2" t="inlineStr">
        <is>
          <t>M36</t>
        </is>
      </c>
      <c r="AM2" t="inlineStr">
        <is>
          <t>M37</t>
        </is>
      </c>
      <c r="AN2" t="inlineStr">
        <is>
          <t>M38</t>
        </is>
      </c>
      <c r="AO2" t="inlineStr">
        <is>
          <t>M39</t>
        </is>
      </c>
      <c r="AP2" t="inlineStr">
        <is>
          <t>M40</t>
        </is>
      </c>
      <c r="AQ2" t="inlineStr">
        <is>
          <t>M41</t>
        </is>
      </c>
      <c r="AR2" t="inlineStr">
        <is>
          <t>M42</t>
        </is>
      </c>
      <c r="AS2" t="inlineStr">
        <is>
          <t>M43</t>
        </is>
      </c>
      <c r="AT2" t="inlineStr">
        <is>
          <t>M44</t>
        </is>
      </c>
      <c r="AU2" t="inlineStr">
        <is>
          <t>M45</t>
        </is>
      </c>
      <c r="AV2" t="inlineStr">
        <is>
          <t>M46</t>
        </is>
      </c>
      <c r="AW2" t="inlineStr">
        <is>
          <t>M47</t>
        </is>
      </c>
      <c r="AX2" t="inlineStr">
        <is>
          <t>M48</t>
        </is>
      </c>
      <c r="AY2" t="inlineStr">
        <is>
          <t>M49</t>
        </is>
      </c>
      <c r="AZ2" t="inlineStr">
        <is>
          <t>M50</t>
        </is>
      </c>
    </row>
    <row r="3">
      <c r="A3" s="365" t="inlineStr">
        <is>
          <t>OPERATING ACTIVITIES</t>
        </is>
      </c>
    </row>
    <row r="4">
      <c r="A4" t="inlineStr">
        <is>
          <t xml:space="preserve">  CA Encaissé</t>
        </is>
      </c>
      <c r="B4" t="inlineStr">
        <is>
          <t>Revenue collected</t>
        </is>
      </c>
    </row>
    <row r="5">
      <c r="A5" t="inlineStr">
        <is>
          <t xml:space="preserve">  Charges Personnel</t>
        </is>
      </c>
      <c r="B5" t="inlineStr">
        <is>
          <t>Salaries and social charges</t>
        </is>
      </c>
    </row>
    <row r="6">
      <c r="A6" t="inlineStr">
        <is>
          <t xml:space="preserve">  Charges Infrastructure</t>
        </is>
      </c>
      <c r="B6" t="inlineStr">
        <is>
          <t>Cloud + SaaS tools</t>
        </is>
      </c>
    </row>
    <row r="7">
      <c r="A7" t="inlineStr">
        <is>
          <t xml:space="preserve">  Charges Marketing</t>
        </is>
      </c>
      <c r="B7" t="inlineStr">
        <is>
          <t>Marketing spend</t>
        </is>
      </c>
    </row>
    <row r="8">
      <c r="A8" t="inlineStr">
        <is>
          <t xml:space="preserve">  Autres Charges</t>
        </is>
      </c>
      <c r="B8" t="inlineStr">
        <is>
          <t>Other operating expenses</t>
        </is>
      </c>
    </row>
    <row r="9">
      <c r="A9" s="365">
        <f> Cash Flow Opérationnel</f>
        <v/>
      </c>
    </row>
    <row r="11">
      <c r="A11" s="365" t="inlineStr">
        <is>
          <t>INVESTING ACTIVITIES</t>
        </is>
      </c>
    </row>
    <row r="12">
      <c r="A12" t="inlineStr">
        <is>
          <t xml:space="preserve">  CAPEX (équipements)</t>
        </is>
      </c>
      <c r="B12" t="inlineStr">
        <is>
          <t>Equipment and infrastructure</t>
        </is>
      </c>
    </row>
    <row r="13">
      <c r="A13" s="365">
        <f> Cash Flow Investissement</f>
        <v/>
      </c>
    </row>
    <row r="15">
      <c r="A15" s="365" t="inlineStr">
        <is>
          <t>FINANCING ACTIVITIES</t>
        </is>
      </c>
    </row>
    <row r="16">
      <c r="A16" t="inlineStr">
        <is>
          <t xml:space="preserve">  Pre-Seed</t>
        </is>
      </c>
      <c r="B16" t="inlineStr">
        <is>
          <t>M1: 150K€</t>
        </is>
      </c>
    </row>
    <row r="17">
      <c r="A17" t="inlineStr">
        <is>
          <t xml:space="preserve">  Seed</t>
        </is>
      </c>
      <c r="B17" t="inlineStr">
        <is>
          <t>M11: 500K€</t>
        </is>
      </c>
    </row>
    <row r="18">
      <c r="A18" t="inlineStr">
        <is>
          <t xml:space="preserve">  Series A</t>
        </is>
      </c>
      <c r="B18" t="inlineStr">
        <is>
          <t>M36: 2.5M€</t>
        </is>
      </c>
    </row>
    <row r="19">
      <c r="A19" s="365">
        <f> Cash Flow Financement</f>
        <v/>
      </c>
    </row>
    <row r="21">
      <c r="A21" s="374" t="inlineStr">
        <is>
          <t>TOTAL CASH FLOW (mois)</t>
        </is>
      </c>
    </row>
    <row r="22">
      <c r="A22" s="375" t="inlineStr">
        <is>
          <t>CASH BALANCE (cumulé)</t>
        </is>
      </c>
      <c r="B22" t="inlineStr">
        <is>
          <t>Trésorerie disponible</t>
        </is>
      </c>
    </row>
    <row r="24">
      <c r="A24" s="365" t="inlineStr">
        <is>
          <t>MÉTRIQUES</t>
        </is>
      </c>
    </row>
    <row r="25">
      <c r="A25" t="inlineStr">
        <is>
          <t xml:space="preserve">  Burn Rate (€/mois)</t>
        </is>
      </c>
      <c r="B25" t="inlineStr">
        <is>
          <t>Operating CF négatif</t>
        </is>
      </c>
    </row>
    <row r="26">
      <c r="A26" t="inlineStr">
        <is>
          <t xml:space="preserve">  Cash Runway (mois)</t>
        </is>
      </c>
      <c r="B26" t="inlineStr">
        <is>
          <t>Cash balance / Burn rate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20" customWidth="1" style="362" min="2" max="2"/>
    <col width="20" customWidth="1" style="362" min="3" max="3"/>
    <col width="20" customWidth="1" style="362" min="4" max="4"/>
    <col width="50" customWidth="1" style="362" min="5" max="5"/>
  </cols>
  <sheetData>
    <row r="1">
      <c r="A1" s="364" t="inlineStr">
        <is>
          <t>SCENARIOS D'ÉVOLUTION</t>
        </is>
      </c>
    </row>
    <row r="2">
      <c r="A2" t="inlineStr">
        <is>
          <t>Basé sur assumptions.yaml - 3 scénarios probabilisés</t>
        </is>
      </c>
    </row>
    <row r="4">
      <c r="A4" s="365" t="inlineStr">
        <is>
          <t>Métrique</t>
        </is>
      </c>
      <c r="B4" s="365" t="inlineStr">
        <is>
          <t>BASE CASE (60%)</t>
        </is>
      </c>
      <c r="C4" s="365" t="inlineStr">
        <is>
          <t>UPSIDE (20%)</t>
        </is>
      </c>
      <c r="D4" s="365" t="inlineStr">
        <is>
          <t>DOWNSIDE (20%)</t>
        </is>
      </c>
      <c r="E4" s="365" t="inlineStr">
        <is>
          <t>Notes</t>
        </is>
      </c>
    </row>
    <row r="5">
      <c r="A5" s="365" t="inlineStr">
        <is>
          <t>ARR M14</t>
        </is>
      </c>
      <c r="B5" t="n">
        <v>800000</v>
      </c>
      <c r="C5" t="n">
        <v>952000</v>
      </c>
      <c r="D5" t="n">
        <v>648000</v>
      </c>
      <c r="E5" t="inlineStr">
        <is>
          <t>Annual Recurring Revenue à M14</t>
        </is>
      </c>
    </row>
    <row r="6">
      <c r="A6" t="inlineStr">
        <is>
          <t>Probabilité</t>
        </is>
      </c>
      <c r="B6" t="inlineStr">
        <is>
          <t>60.0%</t>
        </is>
      </c>
      <c r="C6" t="inlineStr">
        <is>
          <t>20.0%</t>
        </is>
      </c>
      <c r="D6" t="inlineStr">
        <is>
          <t>20.0%</t>
        </is>
      </c>
    </row>
    <row r="8">
      <c r="A8" s="365" t="inlineStr">
        <is>
          <t>HYPOTHÈSES HACKATHON</t>
        </is>
      </c>
    </row>
    <row r="9">
      <c r="A9" t="inlineStr">
        <is>
          <t>Volume multiplier</t>
        </is>
      </c>
      <c r="B9" t="inlineStr">
        <is>
          <t>1.0×</t>
        </is>
      </c>
      <c r="C9" t="inlineStr">
        <is>
          <t>1.2×</t>
        </is>
      </c>
      <c r="D9" t="inlineStr">
        <is>
          <t>0.8×</t>
        </is>
      </c>
      <c r="E9" t="inlineStr">
        <is>
          <t>Multiplicateur volumes hackathons</t>
        </is>
      </c>
    </row>
    <row r="10">
      <c r="A10" t="inlineStr">
        <is>
          <t>Conversion → Factory</t>
        </is>
      </c>
      <c r="B10" t="inlineStr">
        <is>
          <t>30%</t>
        </is>
      </c>
      <c r="C10" t="inlineStr">
        <is>
          <t>35.0%</t>
        </is>
      </c>
      <c r="D10" t="inlineStr">
        <is>
          <t>25.0%</t>
        </is>
      </c>
      <c r="E10" t="inlineStr">
        <is>
          <t>Taux conversion Hackathon → Factory</t>
        </is>
      </c>
    </row>
    <row r="12">
      <c r="A12" s="365" t="inlineStr">
        <is>
          <t>HYPOTHÈSES ENTERPRISE HUB</t>
        </is>
      </c>
    </row>
    <row r="13">
      <c r="A13" t="inlineStr">
        <is>
          <t>Launch delay</t>
        </is>
      </c>
      <c r="B13" t="inlineStr">
        <is>
          <t>M8 (aucun retard)</t>
        </is>
      </c>
      <c r="C13" t="inlineStr">
        <is>
          <t>M8 (accéléré)</t>
        </is>
      </c>
      <c r="D13" t="inlineStr">
        <is>
          <t>M10 (+2 mois)</t>
        </is>
      </c>
      <c r="E13" t="inlineStr">
        <is>
          <t>Délai lancement Hub</t>
        </is>
      </c>
    </row>
    <row r="14">
      <c r="A14" t="inlineStr">
        <is>
          <t>Adoption speed</t>
        </is>
      </c>
      <c r="B14" t="inlineStr">
        <is>
          <t>Normal</t>
        </is>
      </c>
      <c r="C14" t="inlineStr">
        <is>
          <t>Rapide (+20%)</t>
        </is>
      </c>
      <c r="D14" t="inlineStr">
        <is>
          <t>Lente (-20%)</t>
        </is>
      </c>
    </row>
    <row r="16">
      <c r="A16" s="365" t="inlineStr">
        <is>
          <t>IMPACT FINANCIER ESTIMÉ</t>
        </is>
      </c>
    </row>
    <row r="17">
      <c r="A17" t="inlineStr">
        <is>
          <t>ARR M14</t>
        </is>
      </c>
      <c r="B17" t="n">
        <v>800000</v>
      </c>
      <c r="C17" t="n">
        <v>952000</v>
      </c>
      <c r="D17" t="n">
        <v>648000</v>
      </c>
    </row>
    <row r="18">
      <c r="A18" t="inlineStr">
        <is>
          <t>vs Base Case</t>
        </is>
      </c>
      <c r="B18" t="inlineStr">
        <is>
          <t>0%</t>
        </is>
      </c>
      <c r="C18" t="inlineStr">
        <is>
          <t>+19%</t>
        </is>
      </c>
      <c r="D18" t="inlineStr">
        <is>
          <t>-19%</t>
        </is>
      </c>
    </row>
    <row r="20">
      <c r="A20" s="365" t="inlineStr">
        <is>
          <t>HYPOTHÈSES CRITIQUES</t>
        </is>
      </c>
    </row>
    <row r="21">
      <c r="A21" t="inlineStr">
        <is>
          <t>• Conversion hackathon → factory 30%</t>
        </is>
      </c>
      <c r="B21" t="inlineStr">
        <is>
          <t>MEDIUM</t>
        </is>
      </c>
      <c r="E21" t="inlineStr">
        <is>
          <t>Améliorer suivi post-hackathon, PoC gratuits</t>
        </is>
      </c>
    </row>
    <row r="22">
      <c r="A22" t="inlineStr">
        <is>
          <t>• Lancement Hub M8 sans retard</t>
        </is>
      </c>
      <c r="B22" t="inlineStr">
        <is>
          <t>HIGH</t>
        </is>
      </c>
      <c r="E22" t="inlineStr">
        <is>
          <t>Dev parallèle dès M3, beta testing M6-M7</t>
        </is>
      </c>
    </row>
    <row r="23">
      <c r="A23" t="inlineStr">
        <is>
          <t>• Seed 500K€ en Sept 2026</t>
        </is>
      </c>
      <c r="B23" t="inlineStr">
        <is>
          <t>MEDIUM</t>
        </is>
      </c>
      <c r="E23" t="inlineStr">
        <is>
          <t>Prep fundraising dès M6, pipeline investisseurs dè</t>
        </is>
      </c>
    </row>
    <row r="24">
      <c r="A24" t="inlineStr">
        <is>
          <t>• Churn Hub 10% annuel</t>
        </is>
      </c>
      <c r="B24" t="inlineStr">
        <is>
          <t>LOW</t>
        </is>
      </c>
      <c r="E24" t="inlineStr">
        <is>
          <t>Customer success dédié dès M11, NPS tracking</t>
        </is>
      </c>
    </row>
    <row r="25">
      <c r="A25" t="inlineStr">
        <is>
          <t>• Équipe 5 → 12 ETP sans turnover</t>
        </is>
      </c>
      <c r="B25" t="inlineStr">
        <is>
          <t>MEDIUM</t>
        </is>
      </c>
      <c r="E25" t="inlineStr">
        <is>
          <t>BSPCE attractif, culture forte, onboarding structu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15" customWidth="1" style="362" min="2" max="2"/>
    <col width="12" customWidth="1" style="362" min="3" max="3"/>
    <col width="12" customWidth="1" style="362" min="4" max="4"/>
    <col width="12" customWidth="1" style="362" min="5" max="5"/>
    <col width="15" customWidth="1" style="362" min="6" max="6"/>
    <col width="12" customWidth="1" style="362" min="7" max="7"/>
    <col width="40" customWidth="1" style="362" min="8" max="8"/>
  </cols>
  <sheetData>
    <row r="1">
      <c r="A1" s="364" t="inlineStr">
        <is>
          <t>UNIT ECONOMICS PAR PRODUIT</t>
        </is>
      </c>
    </row>
    <row r="3">
      <c r="A3" s="365" t="inlineStr">
        <is>
          <t>Produit</t>
        </is>
      </c>
      <c r="B3" s="365" t="inlineStr">
        <is>
          <t>Prix Moyen</t>
        </is>
      </c>
      <c r="C3" s="365" t="inlineStr">
        <is>
          <t>CAC (€)</t>
        </is>
      </c>
      <c r="D3" s="365" t="inlineStr">
        <is>
          <t>LTV (€)</t>
        </is>
      </c>
      <c r="E3" s="365" t="inlineStr">
        <is>
          <t>LTV/CAC</t>
        </is>
      </c>
      <c r="F3" s="365" t="inlineStr">
        <is>
          <t>Payback (mois)</t>
        </is>
      </c>
      <c r="G3" s="365" t="inlineStr">
        <is>
          <t>Marge (%)</t>
        </is>
      </c>
      <c r="H3" s="365" t="inlineStr">
        <is>
          <t>Notes</t>
        </is>
      </c>
    </row>
    <row r="4">
      <c r="A4" t="inlineStr">
        <is>
          <t>Hackathon</t>
        </is>
      </c>
      <c r="B4" t="n">
        <v>18000</v>
      </c>
      <c r="C4" t="n">
        <v>5000</v>
      </c>
      <c r="D4" t="n">
        <v>27000</v>
      </c>
      <c r="E4">
        <f>D4/C4</f>
        <v/>
      </c>
      <c r="F4" t="n">
        <v>1</v>
      </c>
      <c r="G4" t="inlineStr">
        <is>
          <t>80%</t>
        </is>
      </c>
      <c r="H4" t="inlineStr">
        <is>
          <t>Offre d'entrée, forte marge</t>
        </is>
      </c>
    </row>
    <row r="5">
      <c r="A5" t="inlineStr">
        <is>
          <t>Factory</t>
        </is>
      </c>
      <c r="B5" t="n">
        <v>75000</v>
      </c>
      <c r="C5" t="n">
        <v>10000</v>
      </c>
      <c r="D5" t="n">
        <v>150000</v>
      </c>
      <c r="E5">
        <f>D5/C5</f>
        <v/>
      </c>
      <c r="F5" t="n">
        <v>3</v>
      </c>
      <c r="G5" t="inlineStr">
        <is>
          <t>65%</t>
        </is>
      </c>
      <c r="H5" t="inlineStr">
        <is>
          <t>Conversion naturelle hackathon</t>
        </is>
      </c>
    </row>
    <row r="6">
      <c r="A6" t="inlineStr">
        <is>
          <t>Hub Starter</t>
        </is>
      </c>
      <c r="B6" t="inlineStr">
        <is>
          <t>500€/mois</t>
        </is>
      </c>
      <c r="C6" t="n">
        <v>15000</v>
      </c>
      <c r="D6" t="n">
        <v>36000</v>
      </c>
      <c r="E6">
        <f>D6/C6</f>
        <v/>
      </c>
      <c r="F6" t="n">
        <v>30</v>
      </c>
      <c r="G6" t="inlineStr">
        <is>
          <t>75%</t>
        </is>
      </c>
      <c r="H6" t="inlineStr">
        <is>
          <t>SaaS récurrent, target PME</t>
        </is>
      </c>
    </row>
    <row r="7">
      <c r="A7" t="inlineStr">
        <is>
          <t>Hub Business</t>
        </is>
      </c>
      <c r="B7" t="inlineStr">
        <is>
          <t>2000€/mois</t>
        </is>
      </c>
      <c r="C7" t="n">
        <v>15000</v>
      </c>
      <c r="D7" t="n">
        <v>60000</v>
      </c>
      <c r="E7">
        <f>D7/C7</f>
        <v/>
      </c>
      <c r="F7" t="n">
        <v>8</v>
      </c>
      <c r="G7" t="inlineStr">
        <is>
          <t>78%</t>
        </is>
      </c>
      <c r="H7" t="inlineStr">
        <is>
          <t>SaaS récurrent, target ETI</t>
        </is>
      </c>
    </row>
    <row r="8">
      <c r="A8" t="inlineStr">
        <is>
          <t>Hub Enterprise</t>
        </is>
      </c>
      <c r="B8" t="inlineStr">
        <is>
          <t>10000€/mois</t>
        </is>
      </c>
      <c r="C8" t="n">
        <v>15000</v>
      </c>
      <c r="D8" t="n">
        <v>120000</v>
      </c>
      <c r="E8">
        <f>D8/C8</f>
        <v/>
      </c>
      <c r="F8" t="n">
        <v>2</v>
      </c>
      <c r="G8" t="inlineStr">
        <is>
          <t>80%</t>
        </is>
      </c>
      <c r="H8" t="inlineStr">
        <is>
          <t>SaaS récurrent, target Grands Comptes</t>
        </is>
      </c>
    </row>
    <row r="9">
      <c r="A9" t="inlineStr">
        <is>
          <t>Services Implémentation</t>
        </is>
      </c>
      <c r="B9" t="n">
        <v>10000</v>
      </c>
      <c r="C9" t="n">
        <v>2000</v>
      </c>
      <c r="D9" t="n">
        <v>12000</v>
      </c>
      <c r="E9">
        <f>D9/C9</f>
        <v/>
      </c>
      <c r="F9" t="n">
        <v>1</v>
      </c>
      <c r="G9" t="inlineStr">
        <is>
          <t>70%</t>
        </is>
      </c>
      <c r="H9" t="inlineStr">
        <is>
          <t>Revenus complémentaires</t>
        </is>
      </c>
    </row>
    <row r="11">
      <c r="A11" s="365" t="inlineStr">
        <is>
          <t>RÉSUMÉ</t>
        </is>
      </c>
    </row>
    <row r="12">
      <c r="A12" t="inlineStr">
        <is>
          <t>LTV/CAC Moyen Pondéré</t>
        </is>
      </c>
      <c r="B12" t="n">
        <v>8</v>
      </c>
      <c r="H12" t="inlineStr">
        <is>
          <t>Target: 8× (excellent pour SaaS B2B)</t>
        </is>
      </c>
    </row>
    <row r="13">
      <c r="A13" t="inlineStr">
        <is>
          <t>Payback Moyen (mois)</t>
        </is>
      </c>
      <c r="B13" t="inlineStr">
        <is>
          <t>6-12 mois</t>
        </is>
      </c>
      <c r="H13" t="inlineStr">
        <is>
          <t>Variable selon produit et tier</t>
        </is>
      </c>
    </row>
    <row r="14">
      <c r="A14" t="inlineStr">
        <is>
          <t>Churn Annual Max</t>
        </is>
      </c>
      <c r="B14" t="inlineStr">
        <is>
          <t>15.0%</t>
        </is>
      </c>
      <c r="H14" t="inlineStr">
        <is>
          <t>Hub uniquement (hackathon/factory = one-time)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2025-11-21T21:08:32Z</dcterms:created>
  <dcterms:modified xmlns:dcterms="http://purl.org/dc/terms/" xmlns:xsi="http://www.w3.org/2001/XMLSchema-instance" xsi:type="dcterms:W3CDTF">2025-11-21T21:08:35Z</dcterms:modified>
</cp:coreProperties>
</file>