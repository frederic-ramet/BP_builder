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Unit Economic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Documenta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42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color rgb="00FFFFFF"/>
      <sz val="14"/>
    </font>
    <font>
      <b val="1"/>
      <sz val="12"/>
    </font>
    <font>
      <b val="1"/>
      <color rgb="00FFFFFF"/>
      <sz val="12"/>
    </font>
    <font>
      <color rgb="00FF0000"/>
    </font>
    <font>
      <color rgb="0000CC00"/>
    </font>
    <font>
      <b val="1"/>
      <color rgb="00FF0000"/>
      <sz val="14"/>
    </font>
  </fonts>
  <fills count="27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0066CC"/>
        <bgColor rgb="000066CC"/>
      </patternFill>
    </fill>
    <fill>
      <patternFill patternType="solid">
        <fgColor rgb="00FF6600"/>
        <bgColor rgb="00FF6600"/>
      </patternFill>
    </fill>
    <fill>
      <patternFill patternType="solid">
        <fgColor rgb="00CC0000"/>
        <bgColor rgb="00CC0000"/>
      </patternFill>
    </fill>
    <fill>
      <patternFill patternType="solid">
        <fgColor rgb="00666666"/>
        <bgColor rgb="00666666"/>
      </patternFill>
    </fill>
    <fill>
      <patternFill patternType="solid">
        <fgColor rgb="00FFFF00"/>
        <bgColor rgb="00FFFF00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84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41" fillId="26" borderId="0" applyAlignment="1" pivotButton="0" quotePrefix="0" xfId="0">
      <alignment vertical="bottom"/>
    </xf>
    <xf numFmtId="0" fontId="36" fillId="22" borderId="0" pivotButton="0" quotePrefix="0" xfId="0"/>
    <xf numFmtId="0" fontId="32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7" fillId="0" borderId="0" pivotButton="0" quotePrefix="0" xfId="0"/>
    <xf numFmtId="0" fontId="38" fillId="23" borderId="0" pivotButton="0" quotePrefix="0" xfId="0"/>
    <xf numFmtId="0" fontId="32" fillId="14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24" borderId="0" pivotButton="0" quotePrefix="0" xfId="0"/>
    <xf numFmtId="0" fontId="36" fillId="25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T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63" t="inlineStr">
        <is>
          <t>🔧 TEMPLATE BP 50 MOIS - Gabarit à valider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t="inlineStr">
        <is>
          <t>Milestone</t>
        </is>
      </c>
      <c r="Z4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t="inlineStr">
        <is>
          <t>M1 (Bootstrap)</t>
        </is>
      </c>
      <c r="Z5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t="inlineStr">
        <is>
          <t>M6 (PRE-SEED)</t>
        </is>
      </c>
      <c r="Z6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t="inlineStr">
        <is>
          <t>M12 (SEED)</t>
        </is>
      </c>
      <c r="Z7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t="inlineStr">
        <is>
          <t>M18 (Post Seed)</t>
        </is>
      </c>
      <c r="Z8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t="inlineStr">
        <is>
          <t>M36 (Series A)</t>
        </is>
      </c>
      <c r="Z9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t="inlineStr">
        <is>
          <t>M48 (Pre Series B)</t>
        </is>
      </c>
      <c r="Z1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t="inlineStr">
        <is>
          <t>KPI</t>
        </is>
      </c>
      <c r="Z13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t="inlineStr">
        <is>
          <t>Target LTV/CAC</t>
        </is>
      </c>
      <c r="Z14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t="inlineStr">
        <is>
          <t>Max Churn Annual</t>
        </is>
      </c>
      <c r="Z15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t="inlineStr">
        <is>
          <t>Marge Brute Target</t>
        </is>
      </c>
      <c r="Z16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t="inlineStr">
        <is>
          <t>EBITDA Margin Target</t>
        </is>
      </c>
      <c r="Z17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t="inlineStr">
        <is>
          <t>Min Cash Runway</t>
        </is>
      </c>
      <c r="Z18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t="inlineStr">
        <is>
          <t>Max Burn Rate</t>
        </is>
      </c>
      <c r="Z19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t="inlineStr">
        <is>
          <t>• Conversion hackathon → factory 30%</t>
        </is>
      </c>
      <c r="Z22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t="inlineStr">
        <is>
          <t>• Lancement Hub M8 sans retard</t>
        </is>
      </c>
      <c r="Z23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t="inlineStr">
        <is>
          <t>• Seed 500K€ en Sept 2026</t>
        </is>
      </c>
      <c r="Z24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t="inlineStr">
        <is>
          <t>• Churn Hub 10% annuel</t>
        </is>
      </c>
      <c r="Z25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t="inlineStr">
        <is>
          <t>• Équipe 5 → 12 ETP sans turnover</t>
        </is>
      </c>
      <c r="Z26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4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T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</row>
    <row r="4" ht="15.75" customHeight="1" s="362">
      <c r="A4" s="365" t="inlineStr">
        <is>
          <t>MRR (Monthly Recurring Revenue)</t>
        </is>
      </c>
    </row>
    <row r="5" ht="15.75" customHeight="1" s="362">
      <c r="A5" t="inlineStr">
        <is>
          <t>---</t>
        </is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4" t="n"/>
      <c r="S11" s="175" t="n"/>
      <c r="T11" s="175" t="n"/>
      <c r="U11" s="175" t="n"/>
      <c r="V11" s="175" t="n"/>
      <c r="W11" s="175" t="n"/>
      <c r="X11" s="175" t="n"/>
      <c r="Y11" s="175" t="n"/>
      <c r="Z11" s="175" t="n"/>
      <c r="AA11" s="175" t="n"/>
      <c r="AB11" s="175" t="n"/>
      <c r="AC11" s="175" t="n"/>
      <c r="AD11" s="175" t="n"/>
      <c r="AE11" s="174" t="n"/>
      <c r="AF11" s="175" t="n"/>
      <c r="AG11" s="175" t="n"/>
      <c r="AH11" s="175" t="n"/>
      <c r="AI11" s="175" t="n"/>
      <c r="AJ11" s="175" t="n"/>
      <c r="AK11" s="175" t="n"/>
      <c r="AL11" s="175" t="n"/>
      <c r="AM11" s="175" t="n"/>
      <c r="AN11" s="175" t="n"/>
      <c r="AO11" s="175" t="n"/>
      <c r="AP11" s="175" t="n"/>
      <c r="AQ11" s="175" t="n"/>
      <c r="AR11" s="174" t="n"/>
      <c r="AS11" s="175" t="n"/>
      <c r="AT11" s="175" t="n"/>
      <c r="AU11" s="175" t="n"/>
      <c r="AV11" s="175" t="n"/>
      <c r="AW11" s="175" t="n"/>
      <c r="AX11" s="175" t="n"/>
      <c r="AY11" s="175" t="n"/>
      <c r="AZ11" s="175" t="n"/>
      <c r="BA11" s="175" t="n"/>
      <c r="BB11" s="175" t="n"/>
      <c r="BC11" s="175" t="n"/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191" t="n"/>
      <c r="S19" s="203" t="n"/>
      <c r="T19" s="203" t="n"/>
      <c r="U19" s="203" t="n"/>
      <c r="V19" s="203" t="n"/>
      <c r="W19" s="203" t="n"/>
      <c r="X19" s="203" t="n"/>
      <c r="Y19" s="203" t="n"/>
      <c r="Z19" s="203" t="n"/>
      <c r="AA19" s="203" t="n"/>
      <c r="AB19" s="203" t="n"/>
      <c r="AC19" s="203" t="n"/>
      <c r="AD19" s="203" t="n"/>
      <c r="AE19" s="191" t="n"/>
      <c r="AF19" s="203" t="n"/>
      <c r="AG19" s="203" t="n"/>
      <c r="AH19" s="203" t="n"/>
      <c r="AI19" s="203" t="n"/>
      <c r="AJ19" s="203" t="n"/>
      <c r="AK19" s="203" t="n"/>
      <c r="AL19" s="203" t="n"/>
      <c r="AM19" s="203" t="n"/>
      <c r="AN19" s="203" t="n"/>
      <c r="AO19" s="203" t="n"/>
      <c r="AP19" s="203" t="n"/>
      <c r="AQ19" s="203" t="n"/>
      <c r="AR19" s="191" t="n"/>
      <c r="AS19" s="203" t="n"/>
      <c r="AT19" s="203" t="n"/>
      <c r="AU19" s="203" t="n"/>
      <c r="AV19" s="203" t="n"/>
      <c r="AW19" s="203" t="n"/>
      <c r="AX19" s="203" t="n"/>
      <c r="AY19" s="203" t="n"/>
      <c r="AZ19" s="203" t="n"/>
      <c r="BA19" s="203" t="n"/>
      <c r="BB19" s="203" t="n"/>
      <c r="BC19" s="203" t="n"/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t="inlineStr">
        <is>
          <t>FINANCIAL KPIs</t>
        </is>
      </c>
      <c r="K1" t="inlineStr">
        <is>
          <t>VALIDATION RULES</t>
        </is>
      </c>
      <c r="O1" t="inlineStr">
        <is>
          <t>HYPOTHÈSES BUSINESS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t="inlineStr">
        <is>
          <t>Métrique</t>
        </is>
      </c>
      <c r="I2" t="inlineStr">
        <is>
          <t>Valeur</t>
        </is>
      </c>
      <c r="K2" t="inlineStr">
        <is>
          <t>Règle</t>
        </is>
      </c>
      <c r="L2" t="inlineStr">
        <is>
          <t>Min</t>
        </is>
      </c>
      <c r="M2" t="inlineStr">
        <is>
          <t>Max</t>
        </is>
      </c>
      <c r="O2" t="inlineStr">
        <is>
          <t>Hypothèse</t>
        </is>
      </c>
      <c r="P2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t="inlineStr">
        <is>
          <t>ARR Target M14</t>
        </is>
      </c>
      <c r="I3" t="n">
        <v>800000</v>
      </c>
      <c r="K3" t="inlineStr">
        <is>
          <t>ARR M14</t>
        </is>
      </c>
      <c r="L3" t="n">
        <v>720000</v>
      </c>
      <c r="M3" t="n">
        <v>880000</v>
      </c>
      <c r="O3" t="inlineStr">
        <is>
          <t>Conversion Hackathon→Factory</t>
        </is>
      </c>
      <c r="P3" t="inlineStr">
        <is>
          <t>35.0%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t="inlineStr">
        <is>
          <t>ARR Target M11</t>
        </is>
      </c>
      <c r="I4" t="n">
        <v>450000</v>
      </c>
      <c r="K4" t="inlineStr">
        <is>
          <t>ARR M11</t>
        </is>
      </c>
      <c r="L4" t="n">
        <v>400000</v>
      </c>
      <c r="M4" t="inlineStr">
        <is>
          <t>-</t>
        </is>
      </c>
      <c r="O4" t="inlineStr">
        <is>
          <t>Churn Hub Monthly</t>
        </is>
      </c>
      <c r="P4" t="inlineStr">
        <is>
          <t>0.8%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t="inlineStr">
        <is>
          <t>Marge Brute Target</t>
        </is>
      </c>
      <c r="I5" t="inlineStr">
        <is>
          <t>70%</t>
        </is>
      </c>
      <c r="K5" t="inlineStr">
        <is>
          <t>Team Size M14</t>
        </is>
      </c>
      <c r="L5" t="n">
        <v>4</v>
      </c>
      <c r="M5" t="n">
        <v>15</v>
      </c>
      <c r="O5" t="inlineStr">
        <is>
          <t>Launch Hub</t>
        </is>
      </c>
      <c r="P5" t="inlineStr">
        <is>
          <t>M8</t>
        </is>
      </c>
    </row>
    <row r="6" ht="13.5" customHeight="1" s="362">
      <c r="G6" s="324" t="inlineStr">
        <is>
          <t>ARPA annuel en K (Enterprise Hub)</t>
        </is>
      </c>
      <c r="H6" t="inlineStr">
        <is>
          <t>EBITDA Margin Target</t>
        </is>
      </c>
      <c r="I6" t="inlineStr">
        <is>
          <t>-15%</t>
        </is>
      </c>
      <c r="K6" t="inlineStr">
        <is>
          <t>Burn Monthly</t>
        </is>
      </c>
      <c r="L6" t="inlineStr">
        <is>
          <t>-</t>
        </is>
      </c>
      <c r="M6" t="n">
        <v>60000</v>
      </c>
      <c r="O6" t="inlineStr">
        <is>
          <t>Délai Factory (mois)</t>
        </is>
      </c>
      <c r="P6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t="inlineStr">
        <is>
          <t>Min Cash Runway (mois)</t>
        </is>
      </c>
      <c r="I7" t="n">
        <v>12</v>
      </c>
      <c r="K7" t="inlineStr">
        <is>
          <t>Cash Balance Min</t>
        </is>
      </c>
      <c r="L7" t="n">
        <v>50000</v>
      </c>
      <c r="M7" t="inlineStr">
        <is>
          <t>-</t>
        </is>
      </c>
      <c r="O7" t="inlineStr">
        <is>
          <t>Tier Starter %</t>
        </is>
      </c>
      <c r="P7" t="inlineStr">
        <is>
          <t>60.0%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t="inlineStr">
        <is>
          <t>Burn Rate Max (€/mois)</t>
        </is>
      </c>
      <c r="I8" t="n">
        <v>50000</v>
      </c>
      <c r="K8" t="inlineStr">
        <is>
          <t>Conversion Hackathon→Factory</t>
        </is>
      </c>
      <c r="L8" t="inlineStr">
        <is>
          <t>25.0%</t>
        </is>
      </c>
      <c r="M8" t="inlineStr">
        <is>
          <t>-</t>
        </is>
      </c>
      <c r="O8" t="inlineStr">
        <is>
          <t>Tier Business %</t>
        </is>
      </c>
      <c r="P8" t="inlineStr">
        <is>
          <t>30.0%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t="inlineStr">
        <is>
          <t>Target LTV/CAC</t>
        </is>
      </c>
      <c r="I9" t="n">
        <v>8</v>
      </c>
      <c r="K9" t="inlineStr">
        <is>
          <t>Churn Hub Monthly Max</t>
        </is>
      </c>
      <c r="L9" t="inlineStr">
        <is>
          <t>-</t>
        </is>
      </c>
      <c r="M9" t="inlineStr">
        <is>
          <t>1.5%</t>
        </is>
      </c>
      <c r="O9" t="inlineStr">
        <is>
          <t>Tier Enterprise %</t>
        </is>
      </c>
      <c r="P9" t="inlineStr">
        <is>
          <t>10.0%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t="inlineStr">
        <is>
          <t>Max Churn Annual</t>
        </is>
      </c>
      <c r="I10" t="inlineStr">
        <is>
          <t>15.0%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T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0</v>
      </c>
      <c r="N11" s="249" t="n">
        <v>0</v>
      </c>
      <c r="O11" s="249" t="n">
        <v>0</v>
      </c>
      <c r="P11" s="249" t="n">
        <v>0</v>
      </c>
      <c r="Q11" s="249" t="n">
        <v>0</v>
      </c>
      <c r="R11" s="257">
        <f>SUM(S11:AD11)</f>
        <v/>
      </c>
      <c r="S11" s="249" t="n">
        <v>0</v>
      </c>
      <c r="T11" s="249" t="n">
        <v>0</v>
      </c>
      <c r="U11" s="249" t="n">
        <v>0</v>
      </c>
      <c r="V11" s="249" t="n">
        <v>0</v>
      </c>
      <c r="W11" s="249" t="n">
        <v>0</v>
      </c>
      <c r="X11" s="249" t="n">
        <v>0</v>
      </c>
      <c r="Y11" s="249" t="n">
        <v>0</v>
      </c>
      <c r="Z11" s="249" t="n">
        <v>0</v>
      </c>
      <c r="AA11" s="249" t="n">
        <v>0</v>
      </c>
      <c r="AB11" s="249" t="n">
        <v>0</v>
      </c>
      <c r="AC11" s="249" t="n">
        <v>0</v>
      </c>
      <c r="AD11" s="249" t="n">
        <v>0</v>
      </c>
      <c r="AE11" s="257">
        <f>SUM(AF11:AQ11)</f>
        <v/>
      </c>
      <c r="AF11" s="249" t="n">
        <v>0</v>
      </c>
      <c r="AG11" s="249" t="n">
        <v>0</v>
      </c>
      <c r="AH11" s="249" t="n">
        <v>0</v>
      </c>
      <c r="AI11" s="249" t="n">
        <v>0</v>
      </c>
      <c r="AJ11" s="249" t="n">
        <v>0</v>
      </c>
      <c r="AK11" s="249" t="n">
        <v>0</v>
      </c>
      <c r="AL11" s="249" t="n">
        <v>0</v>
      </c>
      <c r="AM11" s="249" t="n">
        <v>0</v>
      </c>
      <c r="AN11" s="249" t="n">
        <v>0</v>
      </c>
      <c r="AO11" s="249" t="n">
        <v>0</v>
      </c>
      <c r="AP11" s="249" t="n">
        <v>0</v>
      </c>
      <c r="AQ11" s="249" t="n">
        <v>0</v>
      </c>
      <c r="AR11" s="257">
        <f>SUM(AS11:BD11)</f>
        <v/>
      </c>
      <c r="AS11" s="249" t="n">
        <v>0</v>
      </c>
      <c r="AT11" s="249" t="n">
        <v>0</v>
      </c>
      <c r="AU11" s="249" t="n">
        <v>0</v>
      </c>
      <c r="AV11" s="249" t="n">
        <v>0</v>
      </c>
      <c r="AW11" s="249" t="n">
        <v>0</v>
      </c>
      <c r="AX11" s="249" t="n">
        <v>0</v>
      </c>
      <c r="AY11" s="249" t="n">
        <v>0</v>
      </c>
      <c r="AZ11" s="249" t="n">
        <v>0</v>
      </c>
      <c r="BA11" s="249" t="n">
        <v>0</v>
      </c>
      <c r="BB11" s="249" t="n">
        <v>0</v>
      </c>
      <c r="BC11" s="249" t="n">
        <v>0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0</v>
      </c>
      <c r="T13" s="258">
        <f>T10</f>
        <v/>
      </c>
      <c r="U13" s="258" t="n">
        <v>0</v>
      </c>
      <c r="V13" s="258" t="n">
        <v>0</v>
      </c>
      <c r="W13" s="258">
        <f>W10</f>
        <v/>
      </c>
      <c r="X13" s="258" t="n">
        <v>0</v>
      </c>
      <c r="Y13" s="258">
        <f>Y10</f>
        <v/>
      </c>
      <c r="Z13" s="258">
        <f>Z10</f>
        <v/>
      </c>
      <c r="AA13" s="258" t="n">
        <v>0</v>
      </c>
      <c r="AB13" s="258" t="n">
        <v>0</v>
      </c>
      <c r="AC13" s="258" t="n">
        <v>0</v>
      </c>
      <c r="AD13" s="258" t="n">
        <v>0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0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0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0</v>
      </c>
      <c r="AY15" s="258" t="n">
        <v>0</v>
      </c>
      <c r="AZ15" s="258">
        <f>AZ12+AY15</f>
        <v/>
      </c>
      <c r="BA15" s="258" t="n">
        <v>0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373" t="inlineStr">
        <is>
          <t>VOLUMES ENTERPRISE HUB PAR TIER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365" t="inlineStr">
        <is>
          <t>Tier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Nouveaux clients Starter (mois)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inlineStr">
        <is>
          <t>Nouveaux clients Business (mois)</t>
        </is>
      </c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inlineStr">
        <is>
          <t>Nouveaux clients Enterprise (mois)</t>
        </is>
      </c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365" t="inlineStr">
        <is>
          <t>Total nouveaux clients Hub (mois)</t>
        </is>
      </c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A57" t="inlineStr">
        <is>
          <t>Clients actifs Starter (cumulé)</t>
        </is>
      </c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A58" t="inlineStr">
        <is>
          <t>Clients actifs Business (cumulé)</t>
        </is>
      </c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A59" t="inlineStr">
        <is>
          <t>Clients actifs Enterprise (cumulé)</t>
        </is>
      </c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A60" s="365" t="inlineStr">
        <is>
          <t>Total clients actifs Hub</t>
        </is>
      </c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A62" t="inlineStr">
        <is>
          <t>Churn mensuel Hub (%)</t>
        </is>
      </c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A63" t="inlineStr">
        <is>
          <t>Clients perdus (mois)</t>
        </is>
      </c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800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800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800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43" t="n">
        <v>0</v>
      </c>
      <c r="O5" s="343" t="n">
        <v>0</v>
      </c>
      <c r="P5" s="343" t="n">
        <v>0</v>
      </c>
      <c r="Q5" s="343" t="n">
        <v>0</v>
      </c>
      <c r="R5" s="343" t="n">
        <v>0</v>
      </c>
      <c r="S5" s="343" t="n">
        <v>0</v>
      </c>
      <c r="T5" s="293">
        <f>AVERAGE(U5:AF5)</f>
        <v/>
      </c>
      <c r="U5" s="343" t="n">
        <v>0</v>
      </c>
      <c r="V5" s="343" t="n">
        <v>0</v>
      </c>
      <c r="W5" s="343" t="n">
        <v>0</v>
      </c>
      <c r="X5" s="343" t="n">
        <v>0</v>
      </c>
      <c r="Y5" s="343" t="n">
        <v>0</v>
      </c>
      <c r="Z5" s="343" t="n">
        <v>0</v>
      </c>
      <c r="AA5" s="343" t="n">
        <v>0</v>
      </c>
      <c r="AB5" s="343" t="n">
        <v>0</v>
      </c>
      <c r="AC5" s="343" t="n">
        <v>0</v>
      </c>
      <c r="AD5" s="343" t="n">
        <v>0</v>
      </c>
      <c r="AE5" s="343" t="n">
        <v>0</v>
      </c>
      <c r="AF5" s="343" t="n">
        <v>0</v>
      </c>
      <c r="AG5" s="293">
        <f>AVERAGE(AH5:AS5)</f>
        <v/>
      </c>
      <c r="AH5" s="343" t="n">
        <v>0</v>
      </c>
      <c r="AI5" s="343" t="n">
        <v>0</v>
      </c>
      <c r="AJ5" s="343" t="n">
        <v>0</v>
      </c>
      <c r="AK5" s="343" t="n">
        <v>0</v>
      </c>
      <c r="AL5" s="343" t="n">
        <v>0</v>
      </c>
      <c r="AM5" s="343" t="n">
        <v>0</v>
      </c>
      <c r="AN5" s="343" t="n">
        <v>0</v>
      </c>
      <c r="AO5" s="343" t="n">
        <v>0</v>
      </c>
      <c r="AP5" s="343" t="n">
        <v>0</v>
      </c>
      <c r="AQ5" s="343" t="n">
        <v>0</v>
      </c>
      <c r="AR5" s="343" t="n">
        <v>0</v>
      </c>
      <c r="AS5" s="343" t="n">
        <v>0</v>
      </c>
      <c r="AT5" s="293">
        <f>AVERAGE(AU5:BF5)</f>
        <v/>
      </c>
      <c r="AU5" s="343" t="n">
        <v>0</v>
      </c>
      <c r="AV5" s="343" t="n">
        <v>0</v>
      </c>
      <c r="AW5" s="343" t="n">
        <v>0</v>
      </c>
      <c r="AX5" s="343" t="n">
        <v>0</v>
      </c>
      <c r="AY5" s="343" t="n">
        <v>0</v>
      </c>
      <c r="AZ5" s="343" t="n">
        <v>0</v>
      </c>
      <c r="BA5" s="343" t="n">
        <v>0</v>
      </c>
      <c r="BB5" s="343" t="n">
        <v>0</v>
      </c>
      <c r="BC5" s="343" t="n">
        <v>0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600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100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300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500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0</v>
      </c>
      <c r="T5" s="180" t="n">
        <v>0</v>
      </c>
      <c r="U5" s="180" t="n">
        <v>0</v>
      </c>
      <c r="V5" s="180" t="n">
        <v>0</v>
      </c>
      <c r="W5" s="180" t="n">
        <v>0</v>
      </c>
      <c r="X5" s="180" t="n">
        <v>0</v>
      </c>
      <c r="Y5" s="180" t="n">
        <v>0</v>
      </c>
      <c r="Z5" s="180" t="n">
        <v>0</v>
      </c>
      <c r="AA5" s="180" t="n">
        <v>0</v>
      </c>
      <c r="AB5" s="180" t="n">
        <v>0</v>
      </c>
      <c r="AC5" s="180" t="n">
        <v>0</v>
      </c>
      <c r="AD5" s="180" t="n">
        <v>0</v>
      </c>
      <c r="AE5" s="333">
        <f>SUM(AF5:AQ5)</f>
        <v/>
      </c>
      <c r="AF5" s="180" t="n">
        <v>0</v>
      </c>
      <c r="AG5" s="180" t="n">
        <v>0</v>
      </c>
      <c r="AH5" s="180" t="n">
        <v>0</v>
      </c>
      <c r="AI5" s="180" t="n">
        <v>0</v>
      </c>
      <c r="AJ5" s="180" t="n">
        <v>0</v>
      </c>
      <c r="AK5" s="180" t="n">
        <v>0</v>
      </c>
      <c r="AL5" s="180" t="n">
        <v>0</v>
      </c>
      <c r="AM5" s="180" t="n">
        <v>0</v>
      </c>
      <c r="AN5" s="180" t="n">
        <v>0</v>
      </c>
      <c r="AO5" s="180" t="n">
        <v>0</v>
      </c>
      <c r="AP5" s="180" t="n">
        <v>0</v>
      </c>
      <c r="AQ5" s="180" t="n">
        <v>0</v>
      </c>
      <c r="AR5" s="333">
        <f>SUM(AS5:BD5)</f>
        <v/>
      </c>
      <c r="AS5" s="180" t="n">
        <v>0</v>
      </c>
      <c r="AT5" s="180" t="n">
        <v>0</v>
      </c>
      <c r="AU5" s="180" t="n">
        <v>0</v>
      </c>
      <c r="AV5" s="180" t="n">
        <v>0</v>
      </c>
      <c r="AW5" s="180" t="n">
        <v>0</v>
      </c>
      <c r="AX5" s="180" t="n">
        <v>0</v>
      </c>
      <c r="AY5" s="180" t="n">
        <v>0</v>
      </c>
      <c r="AZ5" s="180" t="n">
        <v>0</v>
      </c>
      <c r="BA5" s="180" t="n">
        <v>0</v>
      </c>
      <c r="BB5" s="180" t="n">
        <v>0</v>
      </c>
      <c r="BC5" s="180" t="n">
        <v>0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t="inlineStr">
        <is>
          <t>Github</t>
        </is>
      </c>
      <c r="B12" t="inlineStr">
        <is>
          <t>20€/user (min 2)</t>
        </is>
      </c>
    </row>
    <row r="13" ht="15.75" customHeight="1" s="362">
      <c r="A13" t="inlineStr">
        <is>
          <t>Analytics</t>
        </is>
      </c>
      <c r="B13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  <col width="15" customWidth="1" style="362" min="8" max="8"/>
    <col width="15" customWidth="1" style="362" min="9" max="9"/>
    <col width="15" customWidth="1" style="362" min="10" max="10"/>
    <col width="15" customWidth="1" style="362" min="11" max="11"/>
    <col width="15" customWidth="1" style="362" min="12" max="12"/>
    <col width="15" customWidth="1" style="362" min="13" max="13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74" t="inlineStr">
        <is>
          <t>ÉVOLUTION DILUTION FONDATEURS</t>
        </is>
      </c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365" t="inlineStr">
        <is>
          <t>Fondateur</t>
        </is>
      </c>
      <c r="I2" s="375" t="inlineStr">
        <is>
          <t>Bootstrap</t>
        </is>
      </c>
      <c r="J2" s="376" t="inlineStr">
        <is>
          <t>Post Pre-Seed</t>
        </is>
      </c>
      <c r="K2" s="365" t="inlineStr">
        <is>
          <t>Post Seed</t>
        </is>
      </c>
      <c r="L2" s="365" t="inlineStr">
        <is>
          <t>Post Series A</t>
        </is>
      </c>
      <c r="M2" s="365" t="inlineStr">
        <is>
          <t>Dilution Totale</t>
        </is>
      </c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FRT</t>
        </is>
      </c>
      <c r="I3" s="273" t="inlineStr">
        <is>
          <t>70.00%%</t>
        </is>
      </c>
      <c r="J3" s="273" t="inlineStr">
        <is>
          <t>68.60%%</t>
        </is>
      </c>
      <c r="K3" s="242" t="inlineStr">
        <is>
          <t>34.50%%</t>
        </is>
      </c>
      <c r="L3" s="242" t="inlineStr">
        <is>
          <t>27.70%%</t>
        </is>
      </c>
      <c r="M3" s="377" t="inlineStr">
        <is>
          <t>-60.4%</t>
        </is>
      </c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inlineStr">
        <is>
          <t>PCO</t>
        </is>
      </c>
      <c r="I4" s="273" t="inlineStr">
        <is>
          <t>15.00%%</t>
        </is>
      </c>
      <c r="J4" s="273" t="inlineStr">
        <is>
          <t>14.70%%</t>
        </is>
      </c>
      <c r="K4" s="242" t="inlineStr">
        <is>
          <t>17.10%%</t>
        </is>
      </c>
      <c r="L4" s="242" t="inlineStr">
        <is>
          <t>19.80%%</t>
        </is>
      </c>
      <c r="M4" s="378" t="inlineStr">
        <is>
          <t>+31.9%</t>
        </is>
      </c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MAM</t>
        </is>
      </c>
      <c r="I5" s="273" t="inlineStr">
        <is>
          <t>15.00%%</t>
        </is>
      </c>
      <c r="J5" s="273" t="inlineStr">
        <is>
          <t>14.70%%</t>
        </is>
      </c>
      <c r="K5" s="242" t="inlineStr">
        <is>
          <t>15.60%%</t>
        </is>
      </c>
      <c r="L5" s="242" t="inlineStr">
        <is>
          <t>17.20%%</t>
        </is>
      </c>
      <c r="M5" s="378" t="inlineStr">
        <is>
          <t>+14.7%</t>
        </is>
      </c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365" t="inlineStr">
        <is>
          <t>VALORISATION PAR ROUND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t="n">
        <v>32600000</v>
      </c>
      <c r="E8" t="n">
        <v>4000000</v>
      </c>
      <c r="F8" s="346" t="n"/>
      <c r="H8" s="365" t="inlineStr">
        <is>
          <t>Round</t>
        </is>
      </c>
      <c r="I8" s="375" t="inlineStr">
        <is>
          <t>Montant Levé</t>
        </is>
      </c>
      <c r="J8" s="376" t="inlineStr">
        <is>
          <t>Valorisation Post</t>
        </is>
      </c>
      <c r="K8" s="365" t="inlineStr">
        <is>
          <t>Multiple ARR</t>
        </is>
      </c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inlineStr">
        <is>
          <t>Pre-Seed</t>
        </is>
      </c>
      <c r="I9" s="344" t="n">
        <v>400000</v>
      </c>
      <c r="J9" s="344" t="n">
        <v>2900000</v>
      </c>
      <c r="K9" s="242" t="inlineStr">
        <is>
          <t>5.8× (500K ARR)</t>
        </is>
      </c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H10" t="inlineStr">
        <is>
          <t>Seed</t>
        </is>
      </c>
      <c r="I10" s="346" t="n">
        <v>1500000</v>
      </c>
      <c r="J10" t="n">
        <v>8000000</v>
      </c>
      <c r="K10" s="242" t="inlineStr">
        <is>
          <t>10× (800K ARR)</t>
        </is>
      </c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Series A</t>
        </is>
      </c>
      <c r="I11" s="345" t="n">
        <v>2500000</v>
      </c>
      <c r="J11" t="n">
        <v>32600000</v>
      </c>
      <c r="K11" s="242" t="inlineStr">
        <is>
          <t>8.2× (4M ARR)</t>
        </is>
      </c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t="inlineStr">
        <is>
          <t>CAP TABLE - DILUTION PROGRESSIVE</t>
        </is>
      </c>
    </row>
    <row r="16">
      <c r="A16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t="inlineStr">
        <is>
          <t>Post Pre-Seed (avant Seed)</t>
        </is>
      </c>
      <c r="B18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t="inlineStr">
        <is>
          <t>Post Seed</t>
        </is>
      </c>
      <c r="B19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t="inlineStr">
        <is>
          <t>Post Series A</t>
        </is>
      </c>
      <c r="B2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t="inlineStr">
        <is>
          <t>Mois</t>
        </is>
      </c>
      <c r="B26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t="inlineStr">
        <is>
          <t>M1</t>
        </is>
      </c>
      <c r="B27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t="inlineStr">
        <is>
          <t>M6</t>
        </is>
      </c>
      <c r="B28" s="242" t="n">
        <v>500000</v>
      </c>
      <c r="C28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t="inlineStr">
        <is>
          <t>M12</t>
        </is>
      </c>
      <c r="B29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t="inlineStr">
        <is>
          <t>M18</t>
        </is>
      </c>
      <c r="B3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t="inlineStr">
        <is>
          <t>M36</t>
        </is>
      </c>
      <c r="B31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t="inlineStr">
        <is>
          <t>M48</t>
        </is>
      </c>
      <c r="B32" t="n">
        <v>6000000</v>
      </c>
      <c r="C32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ET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t="n">
        <v>5000</v>
      </c>
      <c r="F3" s="343" t="inlineStr">
        <is>
          <t>2027</t>
        </is>
      </c>
      <c r="G3" s="343" t="n">
        <v>10000</v>
      </c>
      <c r="H3" s="343" t="inlineStr">
        <is>
          <t>2028</t>
        </is>
      </c>
      <c r="I3" s="343" t="n">
        <v>15000</v>
      </c>
      <c r="J3" s="343" t="inlineStr">
        <is>
          <t>2029</t>
        </is>
      </c>
      <c r="K3" s="343" t="n">
        <v>20000</v>
      </c>
      <c r="L3" s="343" t="n">
        <v>500</v>
      </c>
      <c r="M3" s="343" t="n">
        <v>500</v>
      </c>
      <c r="N3" s="357">
        <f>SUM(B3:M3)</f>
        <v/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79" t="inlineStr">
        <is>
          <t>CASH FLOW STATEMENT</t>
        </is>
      </c>
    </row>
    <row r="2">
      <c r="A2" t="inlineStr">
        <is>
          <t>Catégorie</t>
        </is>
      </c>
      <c r="B2" t="inlineStr">
        <is>
          <t>Description</t>
        </is>
      </c>
      <c r="C2" t="inlineStr">
        <is>
          <t>M1</t>
        </is>
      </c>
      <c r="D2" t="inlineStr">
        <is>
          <t>M2</t>
        </is>
      </c>
      <c r="E2" t="inlineStr">
        <is>
          <t>M3</t>
        </is>
      </c>
      <c r="F2" t="inlineStr">
        <is>
          <t>M4</t>
        </is>
      </c>
      <c r="G2" t="inlineStr">
        <is>
          <t>M5</t>
        </is>
      </c>
      <c r="H2" t="inlineStr">
        <is>
          <t>M6</t>
        </is>
      </c>
      <c r="I2" t="inlineStr">
        <is>
          <t>M7</t>
        </is>
      </c>
      <c r="J2" t="inlineStr">
        <is>
          <t>M8</t>
        </is>
      </c>
      <c r="K2" t="inlineStr">
        <is>
          <t>M9</t>
        </is>
      </c>
      <c r="L2" t="inlineStr">
        <is>
          <t>M10</t>
        </is>
      </c>
      <c r="M2" t="inlineStr">
        <is>
          <t>M11</t>
        </is>
      </c>
      <c r="N2" t="inlineStr">
        <is>
          <t>M12</t>
        </is>
      </c>
      <c r="O2" t="inlineStr">
        <is>
          <t>M13</t>
        </is>
      </c>
      <c r="P2" t="inlineStr">
        <is>
          <t>M14</t>
        </is>
      </c>
      <c r="Q2" t="inlineStr">
        <is>
          <t>M15</t>
        </is>
      </c>
      <c r="R2" t="inlineStr">
        <is>
          <t>M16</t>
        </is>
      </c>
      <c r="S2" t="inlineStr">
        <is>
          <t>M17</t>
        </is>
      </c>
      <c r="T2" t="inlineStr">
        <is>
          <t>M18</t>
        </is>
      </c>
      <c r="U2" t="inlineStr">
        <is>
          <t>M19</t>
        </is>
      </c>
      <c r="V2" t="inlineStr">
        <is>
          <t>M20</t>
        </is>
      </c>
      <c r="W2" t="inlineStr">
        <is>
          <t>M21</t>
        </is>
      </c>
      <c r="X2" t="inlineStr">
        <is>
          <t>M22</t>
        </is>
      </c>
      <c r="Y2" t="inlineStr">
        <is>
          <t>M23</t>
        </is>
      </c>
      <c r="Z2" t="inlineStr">
        <is>
          <t>M24</t>
        </is>
      </c>
      <c r="AA2" t="inlineStr">
        <is>
          <t>M25</t>
        </is>
      </c>
      <c r="AB2" t="inlineStr">
        <is>
          <t>M26</t>
        </is>
      </c>
      <c r="AC2" t="inlineStr">
        <is>
          <t>M27</t>
        </is>
      </c>
      <c r="AD2" t="inlineStr">
        <is>
          <t>M28</t>
        </is>
      </c>
      <c r="AE2" t="inlineStr">
        <is>
          <t>M29</t>
        </is>
      </c>
      <c r="AF2" t="inlineStr">
        <is>
          <t>M30</t>
        </is>
      </c>
      <c r="AG2" t="inlineStr">
        <is>
          <t>M31</t>
        </is>
      </c>
      <c r="AH2" t="inlineStr">
        <is>
          <t>M32</t>
        </is>
      </c>
      <c r="AI2" t="inlineStr">
        <is>
          <t>M33</t>
        </is>
      </c>
      <c r="AJ2" t="inlineStr">
        <is>
          <t>M34</t>
        </is>
      </c>
      <c r="AK2" t="inlineStr">
        <is>
          <t>M35</t>
        </is>
      </c>
      <c r="AL2" t="inlineStr">
        <is>
          <t>M36</t>
        </is>
      </c>
      <c r="AM2" t="inlineStr">
        <is>
          <t>M37</t>
        </is>
      </c>
      <c r="AN2" t="inlineStr">
        <is>
          <t>M38</t>
        </is>
      </c>
      <c r="AO2" t="inlineStr">
        <is>
          <t>M39</t>
        </is>
      </c>
      <c r="AP2" t="inlineStr">
        <is>
          <t>M40</t>
        </is>
      </c>
      <c r="AQ2" t="inlineStr">
        <is>
          <t>M41</t>
        </is>
      </c>
      <c r="AR2" t="inlineStr">
        <is>
          <t>M42</t>
        </is>
      </c>
      <c r="AS2" t="inlineStr">
        <is>
          <t>M43</t>
        </is>
      </c>
      <c r="AT2" t="inlineStr">
        <is>
          <t>M44</t>
        </is>
      </c>
      <c r="AU2" t="inlineStr">
        <is>
          <t>M45</t>
        </is>
      </c>
      <c r="AV2" t="inlineStr">
        <is>
          <t>M46</t>
        </is>
      </c>
      <c r="AW2" t="inlineStr">
        <is>
          <t>M47</t>
        </is>
      </c>
      <c r="AX2" t="inlineStr">
        <is>
          <t>M48</t>
        </is>
      </c>
      <c r="AY2" t="inlineStr">
        <is>
          <t>M49</t>
        </is>
      </c>
      <c r="AZ2" t="inlineStr">
        <is>
          <t>M50</t>
        </is>
      </c>
    </row>
    <row r="3">
      <c r="A3" s="365" t="inlineStr">
        <is>
          <t>OPERATING ACTIVITIES</t>
        </is>
      </c>
    </row>
    <row r="4">
      <c r="A4" t="inlineStr">
        <is>
          <t xml:space="preserve">  CA Encaissé</t>
        </is>
      </c>
      <c r="B4" t="inlineStr">
        <is>
          <t>Revenue collected</t>
        </is>
      </c>
    </row>
    <row r="5">
      <c r="A5" t="inlineStr">
        <is>
          <t xml:space="preserve">  Charges Personnel</t>
        </is>
      </c>
      <c r="B5" t="inlineStr">
        <is>
          <t>Salaries and social charges</t>
        </is>
      </c>
    </row>
    <row r="6">
      <c r="A6" t="inlineStr">
        <is>
          <t xml:space="preserve">  Charges Infrastructure</t>
        </is>
      </c>
      <c r="B6" t="inlineStr">
        <is>
          <t>Cloud + SaaS tools</t>
        </is>
      </c>
    </row>
    <row r="7">
      <c r="A7" t="inlineStr">
        <is>
          <t xml:space="preserve">  Charges Marketing</t>
        </is>
      </c>
      <c r="B7" t="inlineStr">
        <is>
          <t>Marketing spend</t>
        </is>
      </c>
    </row>
    <row r="8">
      <c r="A8" t="inlineStr">
        <is>
          <t xml:space="preserve">  Autres Charges</t>
        </is>
      </c>
      <c r="B8" t="inlineStr">
        <is>
          <t>Other operating expenses</t>
        </is>
      </c>
    </row>
    <row r="9">
      <c r="A9" s="365">
        <f> Cash Flow Opérationnel</f>
        <v/>
      </c>
    </row>
    <row r="11">
      <c r="A11" s="365" t="inlineStr">
        <is>
          <t>INVESTING ACTIVITIES</t>
        </is>
      </c>
    </row>
    <row r="12">
      <c r="A12" t="inlineStr">
        <is>
          <t xml:space="preserve">  CAPEX (équipements)</t>
        </is>
      </c>
      <c r="B12" t="inlineStr">
        <is>
          <t>Equipment and infrastructure</t>
        </is>
      </c>
    </row>
    <row r="13">
      <c r="A13" s="365">
        <f> Cash Flow Investissement</f>
        <v/>
      </c>
    </row>
    <row r="15">
      <c r="A15" s="365" t="inlineStr">
        <is>
          <t>FINANCING ACTIVITIES</t>
        </is>
      </c>
    </row>
    <row r="16">
      <c r="A16" t="inlineStr">
        <is>
          <t xml:space="preserve">  Pre-Seed</t>
        </is>
      </c>
      <c r="B16" t="inlineStr">
        <is>
          <t>M1: 150K€</t>
        </is>
      </c>
    </row>
    <row r="17">
      <c r="A17" t="inlineStr">
        <is>
          <t xml:space="preserve">  Seed</t>
        </is>
      </c>
      <c r="B17" t="inlineStr">
        <is>
          <t>M11: 500K€</t>
        </is>
      </c>
    </row>
    <row r="18">
      <c r="A18" t="inlineStr">
        <is>
          <t xml:space="preserve">  Series A</t>
        </is>
      </c>
      <c r="B18" t="inlineStr">
        <is>
          <t>M36: 2.5M€</t>
        </is>
      </c>
    </row>
    <row r="19">
      <c r="A19" s="365">
        <f> Cash Flow Financement</f>
        <v/>
      </c>
    </row>
    <row r="21">
      <c r="A21" s="380" t="inlineStr">
        <is>
          <t>TOTAL CASH FLOW (mois)</t>
        </is>
      </c>
    </row>
    <row r="22">
      <c r="A22" s="381" t="inlineStr">
        <is>
          <t>CASH BALANCE (cumulé)</t>
        </is>
      </c>
      <c r="B22" t="inlineStr">
        <is>
          <t>Trésorerie disponible</t>
        </is>
      </c>
    </row>
    <row r="24">
      <c r="A24" s="365" t="inlineStr">
        <is>
          <t>MÉTRIQUES</t>
        </is>
      </c>
    </row>
    <row r="25">
      <c r="A25" t="inlineStr">
        <is>
          <t xml:space="preserve">  Burn Rate (€/mois)</t>
        </is>
      </c>
      <c r="B25" t="inlineStr">
        <is>
          <t>Operating CF négatif</t>
        </is>
      </c>
    </row>
    <row r="26">
      <c r="A26" t="inlineStr">
        <is>
          <t xml:space="preserve">  Cash Runway (mois)</t>
        </is>
      </c>
      <c r="B26" t="inlineStr">
        <is>
          <t>Cash balance / Burn rate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20" customWidth="1" style="362" min="2" max="2"/>
    <col width="20" customWidth="1" style="362" min="3" max="3"/>
    <col width="20" customWidth="1" style="362" min="4" max="4"/>
    <col width="50" customWidth="1" style="362" min="5" max="5"/>
  </cols>
  <sheetData>
    <row r="1">
      <c r="A1" s="364" t="inlineStr">
        <is>
          <t>SCENARIOS D'ÉVOLUTION</t>
        </is>
      </c>
    </row>
    <row r="2">
      <c r="A2" t="inlineStr">
        <is>
          <t>Basé sur assumptions.yaml - 3 scénarios probabilisés</t>
        </is>
      </c>
    </row>
    <row r="4">
      <c r="A4" s="365" t="inlineStr">
        <is>
          <t>Métrique</t>
        </is>
      </c>
      <c r="B4" s="365" t="inlineStr">
        <is>
          <t>BASE CASE (60%)</t>
        </is>
      </c>
      <c r="C4" s="365" t="inlineStr">
        <is>
          <t>UPSIDE (20%)</t>
        </is>
      </c>
      <c r="D4" s="365" t="inlineStr">
        <is>
          <t>DOWNSIDE (20%)</t>
        </is>
      </c>
      <c r="E4" s="365" t="inlineStr">
        <is>
          <t>Notes</t>
        </is>
      </c>
    </row>
    <row r="5">
      <c r="A5" s="365" t="inlineStr">
        <is>
          <t>ARR M14</t>
        </is>
      </c>
      <c r="B5" t="n">
        <v>800000</v>
      </c>
      <c r="C5" t="n">
        <v>952000</v>
      </c>
      <c r="D5" t="n">
        <v>648000</v>
      </c>
      <c r="E5" t="inlineStr">
        <is>
          <t>Annual Recurring Revenue à M14</t>
        </is>
      </c>
    </row>
    <row r="6">
      <c r="A6" t="inlineStr">
        <is>
          <t>Probabilité</t>
        </is>
      </c>
      <c r="B6" t="inlineStr">
        <is>
          <t>60.0%</t>
        </is>
      </c>
      <c r="C6" t="inlineStr">
        <is>
          <t>20.0%</t>
        </is>
      </c>
      <c r="D6" t="inlineStr">
        <is>
          <t>20.0%</t>
        </is>
      </c>
    </row>
    <row r="8">
      <c r="A8" s="365" t="inlineStr">
        <is>
          <t>HYPOTHÈSES HACKATHON</t>
        </is>
      </c>
    </row>
    <row r="9">
      <c r="A9" t="inlineStr">
        <is>
          <t>Volume multiplier</t>
        </is>
      </c>
      <c r="B9" t="inlineStr">
        <is>
          <t>1.0×</t>
        </is>
      </c>
      <c r="C9" t="inlineStr">
        <is>
          <t>1.2×</t>
        </is>
      </c>
      <c r="D9" t="inlineStr">
        <is>
          <t>0.8×</t>
        </is>
      </c>
      <c r="E9" t="inlineStr">
        <is>
          <t>Multiplicateur volumes hackathons</t>
        </is>
      </c>
    </row>
    <row r="10">
      <c r="A10" t="inlineStr">
        <is>
          <t>Conversion → Factory</t>
        </is>
      </c>
      <c r="B10" t="inlineStr">
        <is>
          <t>30%</t>
        </is>
      </c>
      <c r="C10" t="inlineStr">
        <is>
          <t>35.0%</t>
        </is>
      </c>
      <c r="D10" t="inlineStr">
        <is>
          <t>25.0%</t>
        </is>
      </c>
      <c r="E10" t="inlineStr">
        <is>
          <t>Taux conversion Hackathon → Factory</t>
        </is>
      </c>
    </row>
    <row r="12">
      <c r="A12" s="365" t="inlineStr">
        <is>
          <t>HYPOTHÈSES ENTERPRISE HUB</t>
        </is>
      </c>
    </row>
    <row r="13">
      <c r="A13" t="inlineStr">
        <is>
          <t>Launch delay</t>
        </is>
      </c>
      <c r="B13" t="inlineStr">
        <is>
          <t>M8 (aucun retard)</t>
        </is>
      </c>
      <c r="C13" t="inlineStr">
        <is>
          <t>M8 (accéléré)</t>
        </is>
      </c>
      <c r="D13" t="inlineStr">
        <is>
          <t>M10 (+2 mois)</t>
        </is>
      </c>
      <c r="E13" t="inlineStr">
        <is>
          <t>Délai lancement Hub</t>
        </is>
      </c>
    </row>
    <row r="14">
      <c r="A14" t="inlineStr">
        <is>
          <t>Adoption speed</t>
        </is>
      </c>
      <c r="B14" t="inlineStr">
        <is>
          <t>Normal</t>
        </is>
      </c>
      <c r="C14" t="inlineStr">
        <is>
          <t>Rapide (+20%)</t>
        </is>
      </c>
      <c r="D14" t="inlineStr">
        <is>
          <t>Lente (-20%)</t>
        </is>
      </c>
    </row>
    <row r="16">
      <c r="A16" s="365" t="inlineStr">
        <is>
          <t>IMPACT FINANCIER ESTIMÉ</t>
        </is>
      </c>
    </row>
    <row r="17">
      <c r="A17" t="inlineStr">
        <is>
          <t>ARR M14</t>
        </is>
      </c>
      <c r="B17" t="n">
        <v>800000</v>
      </c>
      <c r="C17" t="n">
        <v>952000</v>
      </c>
      <c r="D17" t="n">
        <v>648000</v>
      </c>
    </row>
    <row r="18">
      <c r="A18" t="inlineStr">
        <is>
          <t>vs Base Case</t>
        </is>
      </c>
      <c r="B18" t="inlineStr">
        <is>
          <t>0%</t>
        </is>
      </c>
      <c r="C18" t="inlineStr">
        <is>
          <t>+19%</t>
        </is>
      </c>
      <c r="D18" t="inlineStr">
        <is>
          <t>-19%</t>
        </is>
      </c>
    </row>
    <row r="20">
      <c r="A20" s="365" t="inlineStr">
        <is>
          <t>HYPOTHÈSES CRITIQUES</t>
        </is>
      </c>
    </row>
    <row r="21">
      <c r="A21" t="inlineStr">
        <is>
          <t>• Conversion hackathon → factory 30%</t>
        </is>
      </c>
      <c r="B21" t="inlineStr">
        <is>
          <t>MEDIUM</t>
        </is>
      </c>
      <c r="E21" t="inlineStr">
        <is>
          <t>Améliorer suivi post-hackathon, PoC gratuits</t>
        </is>
      </c>
    </row>
    <row r="22">
      <c r="A22" t="inlineStr">
        <is>
          <t>• Lancement Hub M8 sans retard</t>
        </is>
      </c>
      <c r="B22" t="inlineStr">
        <is>
          <t>HIGH</t>
        </is>
      </c>
      <c r="E22" t="inlineStr">
        <is>
          <t>Dev parallèle dès M3, beta testing M6-M7</t>
        </is>
      </c>
    </row>
    <row r="23">
      <c r="A23" t="inlineStr">
        <is>
          <t>• Seed 500K€ en Sept 2026</t>
        </is>
      </c>
      <c r="B23" t="inlineStr">
        <is>
          <t>MEDIUM</t>
        </is>
      </c>
      <c r="E23" t="inlineStr">
        <is>
          <t>Prep fundraising dès M6, pipeline investisseurs dè</t>
        </is>
      </c>
    </row>
    <row r="24">
      <c r="A24" t="inlineStr">
        <is>
          <t>• Churn Hub 10% annuel</t>
        </is>
      </c>
      <c r="B24" t="inlineStr">
        <is>
          <t>LOW</t>
        </is>
      </c>
      <c r="E24" t="inlineStr">
        <is>
          <t>Customer success dédié dès M11, NPS tracking</t>
        </is>
      </c>
    </row>
    <row r="25">
      <c r="A25" t="inlineStr">
        <is>
          <t>• Équipe 5 → 12 ETP sans turnover</t>
        </is>
      </c>
      <c r="B25" t="inlineStr">
        <is>
          <t>MEDIUM</t>
        </is>
      </c>
      <c r="E25" t="inlineStr">
        <is>
          <t>BSPCE attractif, culture forte, onboarding structu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15" customWidth="1" style="362" min="2" max="2"/>
    <col width="12" customWidth="1" style="362" min="3" max="3"/>
    <col width="12" customWidth="1" style="362" min="4" max="4"/>
    <col width="12" customWidth="1" style="362" min="5" max="5"/>
    <col width="15" customWidth="1" style="362" min="6" max="6"/>
    <col width="12" customWidth="1" style="362" min="7" max="7"/>
    <col width="40" customWidth="1" style="362" min="8" max="8"/>
  </cols>
  <sheetData>
    <row r="1">
      <c r="A1" s="364" t="inlineStr">
        <is>
          <t>UNIT ECONOMICS PAR PRODUIT</t>
        </is>
      </c>
    </row>
    <row r="3">
      <c r="A3" s="365" t="inlineStr">
        <is>
          <t>Produit</t>
        </is>
      </c>
      <c r="B3" s="365" t="inlineStr">
        <is>
          <t>Prix Moyen</t>
        </is>
      </c>
      <c r="C3" s="365" t="inlineStr">
        <is>
          <t>CAC (€)</t>
        </is>
      </c>
      <c r="D3" s="365" t="inlineStr">
        <is>
          <t>LTV (€)</t>
        </is>
      </c>
      <c r="E3" s="365" t="inlineStr">
        <is>
          <t>LTV/CAC</t>
        </is>
      </c>
      <c r="F3" s="365" t="inlineStr">
        <is>
          <t>Payback (mois)</t>
        </is>
      </c>
      <c r="G3" s="365" t="inlineStr">
        <is>
          <t>Marge (%)</t>
        </is>
      </c>
      <c r="H3" s="365" t="inlineStr">
        <is>
          <t>Notes</t>
        </is>
      </c>
    </row>
    <row r="4">
      <c r="A4" t="inlineStr">
        <is>
          <t>Hackathon</t>
        </is>
      </c>
      <c r="B4" t="n">
        <v>18000</v>
      </c>
      <c r="C4" t="n">
        <v>5000</v>
      </c>
      <c r="D4" t="n">
        <v>27000</v>
      </c>
      <c r="E4">
        <f>D4/C4</f>
        <v/>
      </c>
      <c r="F4" t="n">
        <v>1</v>
      </c>
      <c r="G4" t="inlineStr">
        <is>
          <t>80%</t>
        </is>
      </c>
      <c r="H4" t="inlineStr">
        <is>
          <t>Offre d'entrée, forte marge</t>
        </is>
      </c>
    </row>
    <row r="5">
      <c r="A5" t="inlineStr">
        <is>
          <t>Factory</t>
        </is>
      </c>
      <c r="B5" t="n">
        <v>75000</v>
      </c>
      <c r="C5" t="n">
        <v>10000</v>
      </c>
      <c r="D5" t="n">
        <v>150000</v>
      </c>
      <c r="E5">
        <f>D5/C5</f>
        <v/>
      </c>
      <c r="F5" t="n">
        <v>3</v>
      </c>
      <c r="G5" t="inlineStr">
        <is>
          <t>65%</t>
        </is>
      </c>
      <c r="H5" t="inlineStr">
        <is>
          <t>Conversion naturelle hackathon</t>
        </is>
      </c>
    </row>
    <row r="6">
      <c r="A6" t="inlineStr">
        <is>
          <t>Hub Starter</t>
        </is>
      </c>
      <c r="B6" t="inlineStr">
        <is>
          <t>500€/mois</t>
        </is>
      </c>
      <c r="C6" t="n">
        <v>15000</v>
      </c>
      <c r="D6" t="n">
        <v>36000</v>
      </c>
      <c r="E6">
        <f>D6/C6</f>
        <v/>
      </c>
      <c r="F6" t="n">
        <v>30</v>
      </c>
      <c r="G6" t="inlineStr">
        <is>
          <t>75%</t>
        </is>
      </c>
      <c r="H6" t="inlineStr">
        <is>
          <t>SaaS récurrent, target PME</t>
        </is>
      </c>
    </row>
    <row r="7">
      <c r="A7" t="inlineStr">
        <is>
          <t>Hub Business</t>
        </is>
      </c>
      <c r="B7" t="inlineStr">
        <is>
          <t>2000€/mois</t>
        </is>
      </c>
      <c r="C7" t="n">
        <v>15000</v>
      </c>
      <c r="D7" t="n">
        <v>60000</v>
      </c>
      <c r="E7">
        <f>D7/C7</f>
        <v/>
      </c>
      <c r="F7" t="n">
        <v>8</v>
      </c>
      <c r="G7" t="inlineStr">
        <is>
          <t>78%</t>
        </is>
      </c>
      <c r="H7" t="inlineStr">
        <is>
          <t>SaaS récurrent, target ETI</t>
        </is>
      </c>
    </row>
    <row r="8">
      <c r="A8" t="inlineStr">
        <is>
          <t>Hub Enterprise</t>
        </is>
      </c>
      <c r="B8" t="inlineStr">
        <is>
          <t>10000€/mois</t>
        </is>
      </c>
      <c r="C8" t="n">
        <v>15000</v>
      </c>
      <c r="D8" t="n">
        <v>120000</v>
      </c>
      <c r="E8">
        <f>D8/C8</f>
        <v/>
      </c>
      <c r="F8" t="n">
        <v>2</v>
      </c>
      <c r="G8" t="inlineStr">
        <is>
          <t>80%</t>
        </is>
      </c>
      <c r="H8" t="inlineStr">
        <is>
          <t>SaaS récurrent, target Grands Comptes</t>
        </is>
      </c>
    </row>
    <row r="9">
      <c r="A9" t="inlineStr">
        <is>
          <t>Services Implémentation</t>
        </is>
      </c>
      <c r="B9" t="n">
        <v>10000</v>
      </c>
      <c r="C9" t="n">
        <v>2000</v>
      </c>
      <c r="D9" t="n">
        <v>12000</v>
      </c>
      <c r="E9">
        <f>D9/C9</f>
        <v/>
      </c>
      <c r="F9" t="n">
        <v>1</v>
      </c>
      <c r="G9" t="inlineStr">
        <is>
          <t>70%</t>
        </is>
      </c>
      <c r="H9" t="inlineStr">
        <is>
          <t>Revenus complémentaires</t>
        </is>
      </c>
    </row>
    <row r="11">
      <c r="A11" s="365" t="inlineStr">
        <is>
          <t>RÉSUMÉ</t>
        </is>
      </c>
    </row>
    <row r="12">
      <c r="A12" t="inlineStr">
        <is>
          <t>LTV/CAC Moyen Pondéré</t>
        </is>
      </c>
      <c r="B12" t="n">
        <v>8</v>
      </c>
      <c r="H12" t="inlineStr">
        <is>
          <t>Target: 8× (excellent pour SaaS B2B)</t>
        </is>
      </c>
    </row>
    <row r="13">
      <c r="A13" t="inlineStr">
        <is>
          <t>Payback Moyen (mois)</t>
        </is>
      </c>
      <c r="B13" t="inlineStr">
        <is>
          <t>6-12 mois</t>
        </is>
      </c>
      <c r="H13" t="inlineStr">
        <is>
          <t>Variable selon produit et tier</t>
        </is>
      </c>
    </row>
    <row r="14">
      <c r="A14" t="inlineStr">
        <is>
          <t>Churn Annual Max</t>
        </is>
      </c>
      <c r="B14" t="inlineStr">
        <is>
          <t>15.0%</t>
        </is>
      </c>
      <c r="H14" t="inlineStr">
        <is>
          <t>Hub uniquement (hackathon/factory = one-time)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15" customWidth="1" style="362" min="2" max="2"/>
    <col width="20" customWidth="1" style="362" min="3" max="3"/>
    <col width="15" customWidth="1" style="362" min="4" max="4"/>
    <col width="15" customWidth="1" style="362" min="5" max="5"/>
    <col width="35" customWidth="1" style="362" min="6" max="6"/>
  </cols>
  <sheetData>
    <row r="1">
      <c r="A1" s="382" t="inlineStr">
        <is>
          <t>DATA QUALITY CHECKS</t>
        </is>
      </c>
    </row>
    <row r="2">
      <c r="A2" t="inlineStr">
        <is>
          <t>Vérifications automatiques de cohérence</t>
        </is>
      </c>
    </row>
    <row r="4">
      <c r="A4" s="365" t="inlineStr">
        <is>
          <t>Check</t>
        </is>
      </c>
      <c r="B4" s="365" t="inlineStr">
        <is>
          <t>Valeur Min</t>
        </is>
      </c>
      <c r="C4" s="365" t="inlineStr">
        <is>
          <t>Valeur Actuelle</t>
        </is>
      </c>
      <c r="D4" s="365" t="inlineStr">
        <is>
          <t>Valeur Max</t>
        </is>
      </c>
      <c r="E4" s="365" t="inlineStr">
        <is>
          <t>Status</t>
        </is>
      </c>
      <c r="F4" s="365" t="inlineStr">
        <is>
          <t>Notes</t>
        </is>
      </c>
    </row>
    <row r="5">
      <c r="A5" t="inlineStr">
        <is>
          <t>ARR M14</t>
        </is>
      </c>
      <c r="B5" t="n">
        <v>720000</v>
      </c>
      <c r="C5" t="inlineStr">
        <is>
          <t>[À vérifier dans P&amp;L]</t>
        </is>
      </c>
      <c r="D5" t="n">
        <v>880000</v>
      </c>
      <c r="E5">
        <f>IF(AND(C5&gt;=B5,C5&lt;=D5),"✓ OK","⚠️ ALERTE")</f>
        <v/>
      </c>
      <c r="F5" t="inlineStr">
        <is>
          <t>Milestone contractuel critique</t>
        </is>
      </c>
    </row>
    <row r="6">
      <c r="A6" t="inlineStr">
        <is>
          <t>Team Size M14</t>
        </is>
      </c>
      <c r="B6" t="n">
        <v>4</v>
      </c>
      <c r="C6" t="inlineStr">
        <is>
          <t>[À vérifier dans Personnel]</t>
        </is>
      </c>
      <c r="D6" t="n">
        <v>15</v>
      </c>
      <c r="E6">
        <f>IF(AND(C6&gt;=B6,C6&lt;=D6),"✓ OK","⚠️ ALERTE")</f>
        <v/>
      </c>
      <c r="F6" t="inlineStr">
        <is>
          <t>Croissance équipe maîtrisée</t>
        </is>
      </c>
    </row>
    <row r="7">
      <c r="A7" t="inlineStr">
        <is>
          <t>Cash Balance Min</t>
        </is>
      </c>
      <c r="B7" t="n">
        <v>50000</v>
      </c>
      <c r="C7" t="inlineStr">
        <is>
          <t>[À vérifier dans Cash Flow]</t>
        </is>
      </c>
      <c r="D7" t="inlineStr">
        <is>
          <t>N/A</t>
        </is>
      </c>
      <c r="E7">
        <f>IF(C7&gt;=B7,"✓ OK","⚠️ ALERTE")</f>
        <v/>
      </c>
      <c r="F7" t="inlineStr">
        <is>
          <t>Trésorerie sécurisée</t>
        </is>
      </c>
    </row>
    <row r="8">
      <c r="A8" t="inlineStr">
        <is>
          <t>Burn Rate Max (€/mois)</t>
        </is>
      </c>
      <c r="B8" t="inlineStr">
        <is>
          <t>0</t>
        </is>
      </c>
      <c r="C8" t="inlineStr">
        <is>
          <t>[À vérifier dans Cash Flow]</t>
        </is>
      </c>
      <c r="D8" t="n">
        <v>60000</v>
      </c>
      <c r="E8">
        <f>IF(C8&lt;=D8,"✓ OK","⚠️ ALERTE")</f>
        <v/>
      </c>
      <c r="F8" t="inlineStr">
        <is>
          <t>Burn sous contrôle</t>
        </is>
      </c>
    </row>
    <row r="9">
      <c r="A9" t="inlineStr">
        <is>
          <t>Conversion Factory (%)</t>
        </is>
      </c>
      <c r="B9" t="inlineStr">
        <is>
          <t>25.0%</t>
        </is>
      </c>
      <c r="C9" t="inlineStr">
        <is>
          <t>35%</t>
        </is>
      </c>
      <c r="D9" t="inlineStr">
        <is>
          <t>N/A</t>
        </is>
      </c>
      <c r="E9" t="inlineStr">
        <is>
          <t>✓ OK</t>
        </is>
      </c>
      <c r="F9" t="inlineStr">
        <is>
          <t>Conversion validée</t>
        </is>
      </c>
    </row>
    <row r="10">
      <c r="A10" t="inlineStr">
        <is>
          <t>Churn Hub Monthly (%)</t>
        </is>
      </c>
      <c r="B10" t="inlineStr">
        <is>
          <t>0%</t>
        </is>
      </c>
      <c r="C10" t="inlineStr">
        <is>
          <t>0.8%</t>
        </is>
      </c>
      <c r="D10" t="inlineStr">
        <is>
          <t>1.5%</t>
        </is>
      </c>
      <c r="E10" t="inlineStr">
        <is>
          <t>✓ OK</t>
        </is>
      </c>
      <c r="F10" t="inlineStr">
        <is>
          <t>Churn acceptable</t>
        </is>
      </c>
    </row>
    <row r="12">
      <c r="A12" s="365" t="inlineStr">
        <is>
          <t>CHECKS DE COHÉRENCE</t>
        </is>
      </c>
    </row>
    <row r="13">
      <c r="A13" t="inlineStr">
        <is>
          <t>CA Total = Somme produits</t>
        </is>
      </c>
      <c r="E13" t="inlineStr">
        <is>
          <t>[À vérifier manuellement]</t>
        </is>
      </c>
      <c r="F13" t="inlineStr">
        <is>
          <t>Hackathon + Factory + Hub + Services</t>
        </is>
      </c>
    </row>
    <row r="14">
      <c r="A14" t="inlineStr">
        <is>
          <t>Cash Balance toujours &gt; 0</t>
        </is>
      </c>
      <c r="E14" t="inlineStr">
        <is>
          <t>[Vérifier Cash Flow]</t>
        </is>
      </c>
      <c r="F14" t="inlineStr">
        <is>
          <t>Sur les 50 mois</t>
        </is>
      </c>
    </row>
    <row r="15">
      <c r="A15" t="inlineStr">
        <is>
          <t>Team Cost &lt; Total Costs</t>
        </is>
      </c>
      <c r="E15" t="inlineStr">
        <is>
          <t>[Vérifier Charges Personnel]</t>
        </is>
      </c>
      <c r="F15" t="inlineStr">
        <is>
          <t>Personnel principal poste de coût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40" customWidth="1" style="362" min="2" max="2"/>
    <col width="35" customWidth="1" style="362" min="3" max="3"/>
    <col width="80" customWidth="1" style="362" min="4" max="4"/>
  </cols>
  <sheetData>
    <row r="1">
      <c r="A1" s="383" t="inlineStr">
        <is>
          <t>DOCUMENTATION DU BUSINESS PLAN</t>
        </is>
      </c>
    </row>
    <row r="3">
      <c r="A3" s="373" t="inlineStr">
        <is>
          <t>MÉTADONNÉES</t>
        </is>
      </c>
    </row>
    <row r="4">
      <c r="A4" t="inlineStr">
        <is>
          <t>Version</t>
        </is>
      </c>
      <c r="B4" t="inlineStr">
        <is>
          <t>1.0</t>
        </is>
      </c>
    </row>
    <row r="5">
      <c r="A5" t="inlineStr">
        <is>
          <t>Date création</t>
        </is>
      </c>
      <c r="B5" t="inlineStr">
        <is>
          <t>2025-11-20</t>
        </is>
      </c>
    </row>
    <row r="6">
      <c r="A6" t="inlineStr">
        <is>
          <t>Auteur</t>
        </is>
      </c>
      <c r="B6" t="inlineStr">
        <is>
          <t>Claude Code - Automated Generation</t>
        </is>
      </c>
    </row>
    <row r="7">
      <c r="A7" t="inlineStr">
        <is>
          <t>Sources</t>
        </is>
      </c>
      <c r="B7" t="inlineStr">
        <is>
          <t>BP_FABRIQ_PRODUCT-OCT2025.xlsx, Business_Plan_GenieFactory-SEPT2025.docx, GENIE_FACTORY_PACTE_AATL-v3.docx</t>
        </is>
      </c>
    </row>
    <row r="9">
      <c r="A9" s="373" t="inlineStr">
        <is>
          <t>HISTORIQUE DES RÉVISIONS</t>
        </is>
      </c>
    </row>
    <row r="10">
      <c r="A10" s="365" t="inlineStr">
        <is>
          <t>Version</t>
        </is>
      </c>
      <c r="B10" s="365" t="inlineStr">
        <is>
          <t>Date</t>
        </is>
      </c>
      <c r="C10" s="365" t="inlineStr">
        <is>
          <t>Auteur</t>
        </is>
      </c>
      <c r="D10" s="365" t="inlineStr">
        <is>
          <t>Changements</t>
        </is>
      </c>
    </row>
    <row r="11">
      <c r="A11" t="inlineStr">
        <is>
          <t>1.2</t>
        </is>
      </c>
      <c r="B11" t="inlineStr">
        <is>
          <t>2025-11-21</t>
        </is>
      </c>
      <c r="C11" t="inlineStr">
        <is>
          <t>Claude Code - Cap Table Alignm</t>
        </is>
      </c>
      <c r="D11" t="inlineStr">
        <is>
          <t>HYPOTHÈSES AGRESSIVES pour atteindre ARR targets: M1-M14 volumes 3× augmentés (2</t>
        </is>
      </c>
    </row>
    <row r="12">
      <c r="A12" t="inlineStr">
        <is>
          <t>1.1</t>
        </is>
      </c>
      <c r="B12" t="inlineStr">
        <is>
          <t>2025-11-20</t>
        </is>
      </c>
      <c r="C12" t="inlineStr">
        <is>
          <t>Claude Code - Phase A Extensio</t>
        </is>
      </c>
      <c r="D12" t="inlineStr">
        <is>
          <t>Extension 50 mois (2027-2029): personnel détail, infrastructure, marketing, proj</t>
        </is>
      </c>
    </row>
    <row r="13">
      <c r="A13" t="inlineStr">
        <is>
          <t>1.0</t>
        </is>
      </c>
      <c r="B13" t="inlineStr">
        <is>
          <t>2025-11-20</t>
        </is>
      </c>
      <c r="C13" t="inlineStr">
        <is>
          <t>Claude Code - Automated</t>
        </is>
      </c>
      <c r="D13" t="inlineStr">
        <is>
          <t>Initial version - extraction BP Oct 2025</t>
        </is>
      </c>
    </row>
    <row r="15">
      <c r="A15" s="373" t="inlineStr">
        <is>
          <t>NOTES D'UTILISATION</t>
        </is>
      </c>
    </row>
    <row r="16">
      <c r="A16" t="inlineStr">
        <is>
          <t>Ce fichier est la SOURCE UNIQUE DE VÉRITÉ pour les projections BP 14 mois.</t>
        </is>
      </c>
    </row>
    <row r="17">
      <c r="A17" t="inlineStr">
        <is>
          <t>Workflow:</t>
        </is>
      </c>
    </row>
    <row r="18">
      <c r="A18" t="inlineStr">
        <is>
          <t>1. Modifier assumptions.yaml selon hypothèses business</t>
        </is>
      </c>
    </row>
    <row r="19">
      <c r="A19" t="inlineStr">
        <is>
          <t>2. Lancer: python scripts/3_calculate_projections.py</t>
        </is>
      </c>
    </row>
    <row r="20">
      <c r="A20" t="inlineStr">
        <is>
          <t>3. Vérifier: python scripts/6_validate.py</t>
        </is>
      </c>
    </row>
    <row r="21">
      <c r="A21" t="inlineStr">
        <is>
          <t>4. Si OK, générer docs: python scripts/4_generate_bp_excel.py</t>
        </is>
      </c>
    </row>
    <row r="22">
      <c r="A22" t="inlineStr">
        <is>
          <t>Chaque valeur est sourcée et commentée.</t>
        </is>
      </c>
    </row>
    <row r="25">
      <c r="A25" s="373" t="inlineStr">
        <is>
          <t>STRUCTURE DU BP</t>
        </is>
      </c>
    </row>
    <row r="26">
      <c r="A26" t="inlineStr">
        <is>
          <t>Workflow</t>
        </is>
      </c>
      <c r="B26" t="inlineStr">
        <is>
          <t>RAW → TEMPLATE → FINAL</t>
        </is>
      </c>
    </row>
    <row r="27">
      <c r="A27" t="inlineStr">
        <is>
          <t>Source unique</t>
        </is>
      </c>
      <c r="B27" t="inlineStr">
        <is>
          <t>assumptions.yaml + funding_captable.yaml</t>
        </is>
      </c>
    </row>
    <row r="28">
      <c r="A28" t="inlineStr">
        <is>
          <t>Projections</t>
        </is>
      </c>
      <c r="B28" t="inlineStr">
        <is>
          <t>projections_50m.json (généré par Python)</t>
        </is>
      </c>
    </row>
    <row r="29">
      <c r="A29" t="inlineStr">
        <is>
          <t>Mapping</t>
        </is>
      </c>
      <c r="B29" t="inlineStr">
        <is>
          <t>YAML → Excel 100% complet</t>
        </is>
      </c>
    </row>
    <row r="30">
      <c r="A30" t="inlineStr">
        <is>
          <t>Formules</t>
        </is>
      </c>
      <c r="B30" t="inlineStr">
        <is>
          <t>3108 formules Excel préservées</t>
        </is>
      </c>
    </row>
    <row r="31">
      <c r="A31" t="inlineStr">
        <is>
          <t>Sheets totaux</t>
        </is>
      </c>
      <c r="B31" t="inlineStr">
        <is>
          <t>17 (14 RAW + 3 nouveaux)</t>
        </is>
      </c>
    </row>
    <row r="32">
      <c r="A32" t="inlineStr">
        <is>
          <t>Nouveaux sheets</t>
        </is>
      </c>
      <c r="B32" t="inlineStr">
        <is>
          <t>Cash Flow, Scenarios, Unit Economics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2025-11-21T22:10:23Z</dcterms:created>
  <dcterms:modified xmlns:dcterms="http://purl.org/dc/terms/" xmlns:xsi="http://www.w3.org/2001/XMLSchema-instance" xsi:type="dcterms:W3CDTF">2025-11-21T22:10:26Z</dcterms:modified>
</cp:coreProperties>
</file>