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Ventes" sheetId="3" state="visible" r:id="rId3"/>
    <sheet xmlns:r="http://schemas.openxmlformats.org/officeDocument/2006/relationships" name="Paramètres" sheetId="4" state="visible" r:id="rId4"/>
    <sheet xmlns:r="http://schemas.openxmlformats.org/officeDocument/2006/relationships" name="Financement" sheetId="5" state="visible" r:id="rId5"/>
    <sheet xmlns:r="http://schemas.openxmlformats.org/officeDocument/2006/relationships" name="Monito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4"/>
    </font>
    <font>
      <b val="1"/>
    </font>
    <font>
      <b val="1"/>
      <color rgb="0000B050"/>
    </font>
    <font>
      <b val="1"/>
      <color rgb="00FFFFFF"/>
      <sz val="11"/>
    </font>
    <font>
      <b val="1"/>
      <sz val="11"/>
    </font>
    <font>
      <b val="1"/>
      <sz val="10"/>
    </font>
    <font>
      <b val="1"/>
      <color rgb="00FF0000"/>
      <sz val="11"/>
    </font>
    <font>
      <b val="1"/>
      <color rgb="00FF0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0" applyAlignment="1" pivotButton="0" quotePrefix="0" xfId="0">
      <alignment horizontal="right"/>
    </xf>
    <xf numFmtId="164" fontId="8" fillId="3" borderId="0" applyAlignment="1" pivotButton="0" quotePrefix="0" xfId="0">
      <alignment horizontal="right"/>
    </xf>
    <xf numFmtId="0" fontId="9" fillId="0" borderId="0" pivotButton="0" quotePrefix="0" xfId="0"/>
    <xf numFmtId="164" fontId="10" fillId="0" borderId="0" applyAlignment="1" pivotButton="0" quotePrefix="0" xfId="0">
      <alignment horizontal="right"/>
    </xf>
    <xf numFmtId="0" fontId="1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ARR (€)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'Monitoring'!$F$4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'Monitoring'!$G$4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'Monitoring'!$H$4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'Monitoring'!$I$4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'Monitoring'!$J$4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'Monitoring'!$K$4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'Monitoring'!$L$4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'Monitoring'!$M$4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'Monitoring'!$N$4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'Monitoring'!$O$4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'Monitoring'!$P$4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'Monitoring'!$Q$4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'Monitoring'!$R$4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'Monitoring'!$F$2:$S$2</f>
            </numRef>
          </cat>
          <val>
            <numRef>
              <f>'Monitoring'!$S$4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Mensuel (€)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'P&amp;L'!$F$4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'P&amp;L'!$G$4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'P&amp;L'!$H$4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'P&amp;L'!$I$4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'P&amp;L'!$J$4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'P&amp;L'!$K$4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'P&amp;L'!$L$4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'P&amp;L'!$M$4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'P&amp;L'!$N$4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'P&amp;L'!$O$4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'P&amp;L'!$P$4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'P&amp;L'!$Q$4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'P&amp;L'!$R$4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'P&amp;L'!$F$2:$S$2</f>
            </numRef>
          </cat>
          <val>
            <numRef>
              <f>'P&amp;L'!$S$4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GenieFactory - Business Plan 14 Mois</t>
        </is>
      </c>
    </row>
    <row r="2">
      <c r="A2" s="2" t="inlineStr">
        <is>
          <t>Période: Nov 2025 - Dec 2026</t>
        </is>
      </c>
    </row>
    <row r="4">
      <c r="A4" s="3" t="inlineStr">
        <is>
          <t>MÉTRIQUES CLÉS</t>
        </is>
      </c>
    </row>
    <row r="5">
      <c r="A5" s="4" t="inlineStr">
        <is>
          <t>ARR M14 (Dec 2026)</t>
        </is>
      </c>
      <c r="B5" s="5" t="n">
        <v>826809.4848</v>
      </c>
    </row>
    <row r="6">
      <c r="A6" s="4" t="inlineStr">
        <is>
          <t>ARR M11 (Sept 2026)</t>
        </is>
      </c>
      <c r="B6" s="5" t="n">
        <v>342670.1952</v>
      </c>
    </row>
    <row r="7">
      <c r="A7" s="4" t="inlineStr">
        <is>
          <t>CA Total 14 mois</t>
        </is>
      </c>
      <c r="B7" s="6" t="n">
        <v>2179607.3824</v>
      </c>
    </row>
    <row r="8">
      <c r="A8" s="4" t="inlineStr">
        <is>
          <t>EBITDA Total</t>
        </is>
      </c>
      <c r="B8" s="6" t="n">
        <v>1446127.3824</v>
      </c>
    </row>
    <row r="9">
      <c r="A9" s="4" t="inlineStr">
        <is>
          <t>Burn Rate Max</t>
        </is>
      </c>
      <c r="B9" s="6" t="n">
        <v>0</v>
      </c>
    </row>
    <row r="10">
      <c r="A10" s="4" t="inlineStr">
        <is>
          <t>Équipe M14</t>
        </is>
      </c>
      <c r="B10" s="6" t="n">
        <v>12</v>
      </c>
    </row>
    <row r="11">
      <c r="A11" s="4" t="inlineStr">
        <is>
          <t>Cash M14</t>
        </is>
      </c>
      <c r="B11" s="6" t="n">
        <v>2096127.3824</v>
      </c>
    </row>
    <row r="13">
      <c r="A13" t="inlineStr">
        <is>
          <t>Validation ARR M14:</t>
        </is>
      </c>
      <c r="B13" s="7" t="inlineStr">
        <is>
          <t>✓ OK</t>
        </is>
      </c>
    </row>
    <row r="16">
      <c r="A16" s="3" t="inlineStr">
        <is>
          <t>HYPOTHÈSES PRINCIPALES</t>
        </is>
      </c>
    </row>
    <row r="17">
      <c r="A17" t="inlineStr">
        <is>
          <t>Hackathon pricing M1-M6</t>
        </is>
      </c>
      <c r="B17" t="inlineStr">
        <is>
          <t>18,000.0€</t>
        </is>
      </c>
    </row>
    <row r="18">
      <c r="A18" t="inlineStr">
        <is>
          <t>Factory pricing M1-M6</t>
        </is>
      </c>
      <c r="B18" t="inlineStr">
        <is>
          <t>75,000.0€</t>
        </is>
      </c>
    </row>
    <row r="19">
      <c r="A19" t="inlineStr">
        <is>
          <t>Hub launch</t>
        </is>
      </c>
      <c r="B19" t="inlineStr">
        <is>
          <t>M8</t>
        </is>
      </c>
    </row>
    <row r="20">
      <c r="A20" t="inlineStr">
        <is>
          <t>Conversion Hack→Factory</t>
        </is>
      </c>
      <c r="B20" t="inlineStr">
        <is>
          <t>30%</t>
        </is>
      </c>
    </row>
    <row r="21">
      <c r="A21" t="inlineStr">
        <is>
          <t>Churn Hub annuel</t>
        </is>
      </c>
      <c r="B21" t="inlineStr">
        <is>
          <t>10%</t>
        </is>
      </c>
    </row>
    <row r="22">
      <c r="A22" t="inlineStr">
        <is>
          <t>Pre-seed M1</t>
        </is>
      </c>
      <c r="B22" t="inlineStr">
        <is>
          <t>150,000€</t>
        </is>
      </c>
    </row>
    <row r="23">
      <c r="A23" t="inlineStr">
        <is>
          <t>Seed M11</t>
        </is>
      </c>
      <c r="B23" t="inlineStr">
        <is>
          <t>500,000€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Compte de Résultat</t>
        </is>
      </c>
    </row>
    <row r="2">
      <c r="E2" s="8" t="inlineStr">
        <is>
          <t>Période</t>
        </is>
      </c>
      <c r="F2" s="8" t="inlineStr">
        <is>
          <t>M1</t>
        </is>
      </c>
      <c r="G2" s="8" t="inlineStr">
        <is>
          <t>M2</t>
        </is>
      </c>
      <c r="H2" s="8" t="inlineStr">
        <is>
          <t>M3</t>
        </is>
      </c>
      <c r="I2" s="8" t="inlineStr">
        <is>
          <t>M4</t>
        </is>
      </c>
      <c r="J2" s="8" t="inlineStr">
        <is>
          <t>M5</t>
        </is>
      </c>
      <c r="K2" s="8" t="inlineStr">
        <is>
          <t>M6</t>
        </is>
      </c>
      <c r="L2" s="8" t="inlineStr">
        <is>
          <t>M7</t>
        </is>
      </c>
      <c r="M2" s="8" t="inlineStr">
        <is>
          <t>M8</t>
        </is>
      </c>
      <c r="N2" s="8" t="inlineStr">
        <is>
          <t>M9</t>
        </is>
      </c>
      <c r="O2" s="8" t="inlineStr">
        <is>
          <t>M10</t>
        </is>
      </c>
      <c r="P2" s="8" t="inlineStr">
        <is>
          <t>M11</t>
        </is>
      </c>
      <c r="Q2" s="8" t="inlineStr">
        <is>
          <t>M12</t>
        </is>
      </c>
      <c r="R2" s="8" t="inlineStr">
        <is>
          <t>M13</t>
        </is>
      </c>
      <c r="S2" s="8" t="inlineStr">
        <is>
          <t>M14</t>
        </is>
      </c>
    </row>
    <row r="3">
      <c r="A3" s="9" t="inlineStr">
        <is>
          <t>CHIFFRE D'AFFAIRES</t>
        </is>
      </c>
    </row>
    <row r="4">
      <c r="E4" s="10" t="inlineStr">
        <is>
          <t>CA TOTAL</t>
        </is>
      </c>
      <c r="F4" s="11">
        <f>SUM(F5:F8)</f>
        <v/>
      </c>
      <c r="G4" s="11">
        <f>SUM(G5:G8)</f>
        <v/>
      </c>
      <c r="H4" s="11">
        <f>SUM(H5:H8)</f>
        <v/>
      </c>
      <c r="I4" s="11">
        <f>SUM(I5:I8)</f>
        <v/>
      </c>
      <c r="J4" s="11">
        <f>SUM(J5:J8)</f>
        <v/>
      </c>
      <c r="K4" s="11">
        <f>SUM(K5:K8)</f>
        <v/>
      </c>
      <c r="L4" s="11">
        <f>SUM(L5:L8)</f>
        <v/>
      </c>
      <c r="M4" s="11">
        <f>SUM(M5:M8)</f>
        <v/>
      </c>
      <c r="N4" s="11">
        <f>SUM(N5:N8)</f>
        <v/>
      </c>
      <c r="O4" s="11">
        <f>SUM(O5:O8)</f>
        <v/>
      </c>
      <c r="P4" s="11">
        <f>SUM(P5:P8)</f>
        <v/>
      </c>
      <c r="Q4" s="11">
        <f>SUM(Q5:Q8)</f>
        <v/>
      </c>
      <c r="R4" s="11">
        <f>SUM(R5:R8)</f>
        <v/>
      </c>
      <c r="S4" s="11">
        <f>SUM(S5:S8)</f>
        <v/>
      </c>
    </row>
    <row r="5">
      <c r="E5" t="inlineStr">
        <is>
          <t xml:space="preserve">  Hackathon</t>
        </is>
      </c>
      <c r="F5" s="6" t="n">
        <v>27000</v>
      </c>
      <c r="G5" s="6" t="n">
        <v>36000</v>
      </c>
      <c r="H5" s="6" t="n">
        <v>36000</v>
      </c>
      <c r="I5" s="6" t="n">
        <v>45000</v>
      </c>
      <c r="J5" s="6" t="n">
        <v>45000</v>
      </c>
      <c r="K5" s="6" t="n">
        <v>54000</v>
      </c>
      <c r="L5" s="6" t="n">
        <v>59400</v>
      </c>
      <c r="M5" s="6" t="n">
        <v>59400</v>
      </c>
      <c r="N5" s="6" t="n">
        <v>59400</v>
      </c>
      <c r="O5" s="6" t="n">
        <v>59400</v>
      </c>
      <c r="P5" s="6" t="n">
        <v>79200</v>
      </c>
      <c r="Q5" s="6" t="n">
        <v>79200</v>
      </c>
      <c r="R5" s="6" t="n">
        <v>79200</v>
      </c>
      <c r="S5" s="6" t="n">
        <v>79200</v>
      </c>
    </row>
    <row r="6">
      <c r="E6" t="inlineStr">
        <is>
          <t xml:space="preserve">  Factory</t>
        </is>
      </c>
      <c r="F6" s="6" t="n">
        <v>0</v>
      </c>
      <c r="G6" s="6" t="n">
        <v>0</v>
      </c>
      <c r="H6" s="6" t="n">
        <v>33750</v>
      </c>
      <c r="I6" s="6" t="n">
        <v>45000</v>
      </c>
      <c r="J6" s="6" t="n">
        <v>45000</v>
      </c>
      <c r="K6" s="6" t="n">
        <v>56250</v>
      </c>
      <c r="L6" s="6" t="n">
        <v>61875</v>
      </c>
      <c r="M6" s="6" t="n">
        <v>74249.99999999999</v>
      </c>
      <c r="N6" s="6" t="n">
        <v>74249.99999999999</v>
      </c>
      <c r="O6" s="6" t="n">
        <v>74249.99999999999</v>
      </c>
      <c r="P6" s="6" t="n">
        <v>74249.99999999999</v>
      </c>
      <c r="Q6" s="6" t="n">
        <v>74249.99999999999</v>
      </c>
      <c r="R6" s="6" t="n">
        <v>99000</v>
      </c>
      <c r="S6" s="6" t="n">
        <v>99000</v>
      </c>
    </row>
    <row r="7">
      <c r="E7" t="inlineStr">
        <is>
          <t xml:space="preserve">  Enterprise Hub (MRR)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5700</v>
      </c>
      <c r="N7" s="6" t="n">
        <v>11354.4</v>
      </c>
      <c r="O7" s="6" t="n">
        <v>18884</v>
      </c>
      <c r="P7" s="6" t="n">
        <v>28555.8496</v>
      </c>
      <c r="Q7" s="6" t="n">
        <v>40064.6048</v>
      </c>
      <c r="R7" s="6" t="n">
        <v>53547.73760000001</v>
      </c>
      <c r="S7" s="6" t="n">
        <v>68900.7904</v>
      </c>
    </row>
    <row r="8">
      <c r="E8" t="inlineStr">
        <is>
          <t xml:space="preserve">  Services</t>
        </is>
      </c>
      <c r="F8" s="6" t="n">
        <v>7500</v>
      </c>
      <c r="G8" s="6" t="n">
        <v>10000</v>
      </c>
      <c r="H8" s="6" t="n">
        <v>10900</v>
      </c>
      <c r="I8" s="6" t="n">
        <v>13700</v>
      </c>
      <c r="J8" s="6" t="n">
        <v>13700</v>
      </c>
      <c r="K8" s="6" t="n">
        <v>16500</v>
      </c>
      <c r="L8" s="6" t="n">
        <v>28875</v>
      </c>
      <c r="M8" s="6" t="n">
        <v>29400</v>
      </c>
      <c r="N8" s="6" t="n">
        <v>29400</v>
      </c>
      <c r="O8" s="6" t="n">
        <v>29400</v>
      </c>
      <c r="P8" s="6" t="n">
        <v>38150</v>
      </c>
      <c r="Q8" s="6" t="n">
        <v>38150</v>
      </c>
      <c r="R8" s="6" t="n">
        <v>39200.00000000001</v>
      </c>
      <c r="S8" s="6" t="n">
        <v>39200.00000000001</v>
      </c>
    </row>
    <row r="10">
      <c r="A10" s="9" t="inlineStr">
        <is>
          <t>CHARGES</t>
        </is>
      </c>
    </row>
    <row r="11">
      <c r="E11" s="10" t="inlineStr">
        <is>
          <t>CHARGES TOTALES</t>
        </is>
      </c>
      <c r="F11" s="11">
        <f>SUM(F12:F15)</f>
        <v/>
      </c>
      <c r="G11" s="11">
        <f>SUM(G12:G15)</f>
        <v/>
      </c>
      <c r="H11" s="11">
        <f>SUM(H12:H15)</f>
        <v/>
      </c>
      <c r="I11" s="11">
        <f>SUM(I12:I15)</f>
        <v/>
      </c>
      <c r="J11" s="11">
        <f>SUM(J12:J15)</f>
        <v/>
      </c>
      <c r="K11" s="11">
        <f>SUM(K12:K15)</f>
        <v/>
      </c>
      <c r="L11" s="11">
        <f>SUM(L12:L15)</f>
        <v/>
      </c>
      <c r="M11" s="11">
        <f>SUM(M12:M15)</f>
        <v/>
      </c>
      <c r="N11" s="11">
        <f>SUM(N12:N15)</f>
        <v/>
      </c>
      <c r="O11" s="11">
        <f>SUM(O12:O15)</f>
        <v/>
      </c>
      <c r="P11" s="11">
        <f>SUM(P12:P15)</f>
        <v/>
      </c>
      <c r="Q11" s="11">
        <f>SUM(Q12:Q15)</f>
        <v/>
      </c>
      <c r="R11" s="11">
        <f>SUM(R12:R15)</f>
        <v/>
      </c>
      <c r="S11" s="11">
        <f>SUM(S12:S15)</f>
        <v/>
      </c>
    </row>
    <row r="12">
      <c r="E12" t="inlineStr">
        <is>
          <t xml:space="preserve">  Personnel</t>
        </is>
      </c>
      <c r="F12" s="6" t="n">
        <v>11000</v>
      </c>
      <c r="G12" s="6" t="n">
        <v>11000</v>
      </c>
      <c r="H12" s="6" t="n">
        <v>23000</v>
      </c>
      <c r="I12" s="6" t="n">
        <v>23000</v>
      </c>
      <c r="J12" s="6" t="n">
        <v>23000</v>
      </c>
      <c r="K12" s="6" t="n">
        <v>23000</v>
      </c>
      <c r="L12" s="6" t="n">
        <v>35000</v>
      </c>
      <c r="M12" s="6" t="n">
        <v>35000</v>
      </c>
      <c r="N12" s="6" t="n">
        <v>35000</v>
      </c>
      <c r="O12" s="6" t="n">
        <v>35000</v>
      </c>
      <c r="P12" s="6" t="n">
        <v>47000</v>
      </c>
      <c r="Q12" s="6" t="n">
        <v>47000</v>
      </c>
      <c r="R12" s="6" t="n">
        <v>53000</v>
      </c>
      <c r="S12" s="6" t="n">
        <v>53000</v>
      </c>
    </row>
    <row r="13">
      <c r="E13" t="inlineStr">
        <is>
          <t xml:space="preserve">  Infrastructure</t>
        </is>
      </c>
      <c r="F13" s="6" t="n">
        <v>4000</v>
      </c>
      <c r="G13" s="6" t="n">
        <v>4000</v>
      </c>
      <c r="H13" s="6" t="n">
        <v>4000</v>
      </c>
      <c r="I13" s="6" t="n">
        <v>4000</v>
      </c>
      <c r="J13" s="6" t="n">
        <v>4000</v>
      </c>
      <c r="K13" s="6" t="n">
        <v>4000</v>
      </c>
      <c r="L13" s="6" t="n">
        <v>4000</v>
      </c>
      <c r="M13" s="6" t="n">
        <v>4600</v>
      </c>
      <c r="N13" s="6" t="n">
        <v>5196</v>
      </c>
      <c r="O13" s="6" t="n">
        <v>5986</v>
      </c>
      <c r="P13" s="6" t="n">
        <v>6972</v>
      </c>
      <c r="Q13" s="6" t="n">
        <v>8146</v>
      </c>
      <c r="R13" s="6" t="n">
        <v>9512</v>
      </c>
      <c r="S13" s="6" t="n">
        <v>11068</v>
      </c>
    </row>
    <row r="14">
      <c r="E14" t="inlineStr">
        <is>
          <t xml:space="preserve">  Marketing</t>
        </is>
      </c>
      <c r="F14" s="6" t="n">
        <v>7000</v>
      </c>
      <c r="G14" s="6" t="n">
        <v>7000</v>
      </c>
      <c r="H14" s="6" t="n">
        <v>22000</v>
      </c>
      <c r="I14" s="6" t="n">
        <v>7000</v>
      </c>
      <c r="J14" s="6" t="n">
        <v>7000</v>
      </c>
      <c r="K14" s="6" t="n">
        <v>22000</v>
      </c>
      <c r="L14" s="6" t="n">
        <v>7000</v>
      </c>
      <c r="M14" s="6" t="n">
        <v>7000</v>
      </c>
      <c r="N14" s="6" t="n">
        <v>22000</v>
      </c>
      <c r="O14" s="6" t="n">
        <v>7000</v>
      </c>
      <c r="P14" s="6" t="n">
        <v>7000</v>
      </c>
      <c r="Q14" s="6" t="n">
        <v>22000</v>
      </c>
      <c r="R14" s="6" t="n">
        <v>7000</v>
      </c>
      <c r="S14" s="6" t="n">
        <v>7000</v>
      </c>
    </row>
    <row r="15">
      <c r="E15" t="inlineStr">
        <is>
          <t xml:space="preserve">  Admin</t>
        </is>
      </c>
      <c r="F15" s="6" t="n">
        <v>3000</v>
      </c>
      <c r="G15" s="6" t="n">
        <v>3000</v>
      </c>
      <c r="H15" s="6" t="n">
        <v>3000</v>
      </c>
      <c r="I15" s="6" t="n">
        <v>3000</v>
      </c>
      <c r="J15" s="6" t="n">
        <v>3000</v>
      </c>
      <c r="K15" s="6" t="n">
        <v>3000</v>
      </c>
      <c r="L15" s="6" t="n">
        <v>3000</v>
      </c>
      <c r="M15" s="6" t="n">
        <v>3000</v>
      </c>
      <c r="N15" s="6" t="n">
        <v>3000</v>
      </c>
      <c r="O15" s="6" t="n">
        <v>3000</v>
      </c>
      <c r="P15" s="6" t="n">
        <v>3000</v>
      </c>
      <c r="Q15" s="6" t="n">
        <v>3000</v>
      </c>
      <c r="R15" s="6" t="n">
        <v>3000</v>
      </c>
      <c r="S15" s="6" t="n">
        <v>3000</v>
      </c>
    </row>
    <row r="17">
      <c r="E17" s="12" t="inlineStr">
        <is>
          <t>EBITDA</t>
        </is>
      </c>
      <c r="F17" s="13">
        <f>F4-F11</f>
        <v/>
      </c>
      <c r="G17" s="13">
        <f>G4-G11</f>
        <v/>
      </c>
      <c r="H17" s="13">
        <f>H4-H11</f>
        <v/>
      </c>
      <c r="I17" s="13">
        <f>I4-I11</f>
        <v/>
      </c>
      <c r="J17" s="13">
        <f>J4-J11</f>
        <v/>
      </c>
      <c r="K17" s="13">
        <f>K4-K11</f>
        <v/>
      </c>
      <c r="L17" s="13">
        <f>L4-L11</f>
        <v/>
      </c>
      <c r="M17" s="13">
        <f>M4-M11</f>
        <v/>
      </c>
      <c r="N17" s="13">
        <f>N4-N11</f>
        <v/>
      </c>
      <c r="O17" s="13">
        <f>O4-O11</f>
        <v/>
      </c>
      <c r="P17" s="13">
        <f>P4-P11</f>
        <v/>
      </c>
      <c r="Q17" s="13">
        <f>Q4-Q11</f>
        <v/>
      </c>
      <c r="R17" s="13">
        <f>R4-R11</f>
        <v/>
      </c>
      <c r="S17" s="13">
        <f>S4-S11</f>
        <v/>
      </c>
    </row>
    <row r="18">
      <c r="E18" t="inlineStr">
        <is>
          <t>Burn Rate</t>
        </is>
      </c>
      <c r="F18" s="6">
        <f>IF(F17&lt;0,-F17,0)</f>
        <v/>
      </c>
      <c r="G18" s="6">
        <f>IF(G17&lt;0,-G17,0)</f>
        <v/>
      </c>
      <c r="H18" s="6">
        <f>IF(H17&lt;0,-H17,0)</f>
        <v/>
      </c>
      <c r="I18" s="6">
        <f>IF(I17&lt;0,-I17,0)</f>
        <v/>
      </c>
      <c r="J18" s="6">
        <f>IF(J17&lt;0,-J17,0)</f>
        <v/>
      </c>
      <c r="K18" s="6">
        <f>IF(K17&lt;0,-K17,0)</f>
        <v/>
      </c>
      <c r="L18" s="6">
        <f>IF(L17&lt;0,-L17,0)</f>
        <v/>
      </c>
      <c r="M18" s="6">
        <f>IF(M17&lt;0,-M17,0)</f>
        <v/>
      </c>
      <c r="N18" s="6">
        <f>IF(N17&lt;0,-N17,0)</f>
        <v/>
      </c>
      <c r="O18" s="6">
        <f>IF(O17&lt;0,-O17,0)</f>
        <v/>
      </c>
      <c r="P18" s="6">
        <f>IF(P17&lt;0,-P17,0)</f>
        <v/>
      </c>
      <c r="Q18" s="6">
        <f>IF(Q17&lt;0,-Q17,0)</f>
        <v/>
      </c>
      <c r="R18" s="6">
        <f>IF(R17&lt;0,-R17,0)</f>
        <v/>
      </c>
      <c r="S18" s="6">
        <f>IF(S17&lt;0,-S17,0)</f>
        <v/>
      </c>
    </row>
    <row r="19">
      <c r="E19" t="inlineStr">
        <is>
          <t>ARR (Run Rate)</t>
        </is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68400</v>
      </c>
      <c r="N19" s="5" t="n">
        <v>136252.8</v>
      </c>
      <c r="O19" s="5" t="n">
        <v>226608</v>
      </c>
      <c r="P19" s="5" t="n">
        <v>342670.1952</v>
      </c>
      <c r="Q19" s="5" t="n">
        <v>480775.2576</v>
      </c>
      <c r="R19" s="5" t="n">
        <v>642572.8512000002</v>
      </c>
      <c r="S19" s="5" t="n">
        <v>826809.4848</v>
      </c>
    </row>
    <row r="20">
      <c r="E20" t="inlineStr">
        <is>
          <t>Cash Position</t>
        </is>
      </c>
      <c r="F20" s="6" t="n">
        <v>159500</v>
      </c>
      <c r="G20" s="6" t="n">
        <v>180500</v>
      </c>
      <c r="H20" s="6" t="n">
        <v>209150</v>
      </c>
      <c r="I20" s="6" t="n">
        <v>275850</v>
      </c>
      <c r="J20" s="6" t="n">
        <v>342550</v>
      </c>
      <c r="K20" s="6" t="n">
        <v>417300</v>
      </c>
      <c r="L20" s="6" t="n">
        <v>518450</v>
      </c>
      <c r="M20" s="6" t="n">
        <v>637600</v>
      </c>
      <c r="N20" s="6" t="n">
        <v>746808.4</v>
      </c>
      <c r="O20" s="6" t="n">
        <v>877756.4</v>
      </c>
      <c r="P20" s="6" t="n">
        <v>1533940.2496</v>
      </c>
      <c r="Q20" s="6" t="n">
        <v>1685458.8544</v>
      </c>
      <c r="R20" s="6" t="n">
        <v>1883894.592</v>
      </c>
      <c r="S20" s="6" t="n">
        <v>2096127.3824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1:S7"/>
  <sheetViews>
    <sheetView workbookViewId="0">
      <selection activeCell="A1" sqref="A1"/>
    </sheetView>
  </sheetViews>
  <sheetFormatPr baseColWidth="8" defaultRowHeight="15"/>
  <cols>
    <col width="25" customWidth="1" min="5" max="5"/>
  </cols>
  <sheetData>
    <row r="1">
      <c r="E1" s="14" t="inlineStr">
        <is>
          <t>PIPELINE VENTES</t>
        </is>
      </c>
    </row>
    <row r="2">
      <c r="E2" s="8" t="inlineStr">
        <is>
          <t>Période</t>
        </is>
      </c>
      <c r="F2" s="8" t="inlineStr">
        <is>
          <t>M1</t>
        </is>
      </c>
      <c r="G2" s="8" t="inlineStr">
        <is>
          <t>M2</t>
        </is>
      </c>
      <c r="H2" s="8" t="inlineStr">
        <is>
          <t>M3</t>
        </is>
      </c>
      <c r="I2" s="8" t="inlineStr">
        <is>
          <t>M4</t>
        </is>
      </c>
      <c r="J2" s="8" t="inlineStr">
        <is>
          <t>M5</t>
        </is>
      </c>
      <c r="K2" s="8" t="inlineStr">
        <is>
          <t>M6</t>
        </is>
      </c>
      <c r="L2" s="8" t="inlineStr">
        <is>
          <t>M7</t>
        </is>
      </c>
      <c r="M2" s="8" t="inlineStr">
        <is>
          <t>M8</t>
        </is>
      </c>
      <c r="N2" s="8" t="inlineStr">
        <is>
          <t>M9</t>
        </is>
      </c>
      <c r="O2" s="8" t="inlineStr">
        <is>
          <t>M10</t>
        </is>
      </c>
      <c r="P2" s="8" t="inlineStr">
        <is>
          <t>M11</t>
        </is>
      </c>
      <c r="Q2" s="8" t="inlineStr">
        <is>
          <t>M12</t>
        </is>
      </c>
      <c r="R2" s="8" t="inlineStr">
        <is>
          <t>M13</t>
        </is>
      </c>
      <c r="S2" s="8" t="inlineStr">
        <is>
          <t>M14</t>
        </is>
      </c>
    </row>
    <row r="4">
      <c r="E4" t="inlineStr">
        <is>
          <t>Hackathons (nb)</t>
        </is>
      </c>
      <c r="F4" s="15" t="n">
        <v>1.5</v>
      </c>
      <c r="G4" s="15" t="n">
        <v>2</v>
      </c>
      <c r="H4" s="15" t="n">
        <v>2</v>
      </c>
      <c r="I4" s="15" t="n">
        <v>2.5</v>
      </c>
      <c r="J4" s="15" t="n">
        <v>2.5</v>
      </c>
      <c r="K4" s="15" t="n">
        <v>3</v>
      </c>
      <c r="L4" s="15" t="n">
        <v>3</v>
      </c>
      <c r="M4" s="15" t="n">
        <v>3</v>
      </c>
      <c r="N4" s="15" t="n">
        <v>3</v>
      </c>
      <c r="O4" s="15" t="n">
        <v>3</v>
      </c>
      <c r="P4" s="15" t="n">
        <v>4</v>
      </c>
      <c r="Q4" s="15" t="n">
        <v>4</v>
      </c>
      <c r="R4" s="15" t="n">
        <v>4</v>
      </c>
      <c r="S4" s="15" t="n">
        <v>4</v>
      </c>
    </row>
    <row r="5">
      <c r="E5" t="inlineStr">
        <is>
          <t>Factory (nb)</t>
        </is>
      </c>
      <c r="F5" s="15" t="n">
        <v>0</v>
      </c>
      <c r="G5" s="15" t="n">
        <v>0</v>
      </c>
      <c r="H5" s="15" t="n">
        <v>0.45</v>
      </c>
      <c r="I5" s="15" t="n">
        <v>0.6</v>
      </c>
      <c r="J5" s="15" t="n">
        <v>0.6</v>
      </c>
      <c r="K5" s="15" t="n">
        <v>0.75</v>
      </c>
      <c r="L5" s="15" t="n">
        <v>0.75</v>
      </c>
      <c r="M5" s="15" t="n">
        <v>0.8999999999999999</v>
      </c>
      <c r="N5" s="15" t="n">
        <v>0.8999999999999999</v>
      </c>
      <c r="O5" s="15" t="n">
        <v>0.8999999999999999</v>
      </c>
      <c r="P5" s="15" t="n">
        <v>0.8999999999999999</v>
      </c>
      <c r="Q5" s="15" t="n">
        <v>0.8999999999999999</v>
      </c>
      <c r="R5" s="15" t="n">
        <v>1.2</v>
      </c>
      <c r="S5" s="15" t="n">
        <v>1.2</v>
      </c>
    </row>
    <row r="6">
      <c r="E6" t="inlineStr">
        <is>
          <t>Hub nouveaux clients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3</v>
      </c>
      <c r="N6" s="15" t="n">
        <v>3</v>
      </c>
      <c r="O6" s="15" t="n">
        <v>4</v>
      </c>
      <c r="P6" s="15" t="n">
        <v>5</v>
      </c>
      <c r="Q6" s="15" t="n">
        <v>6</v>
      </c>
      <c r="R6" s="15" t="n">
        <v>7</v>
      </c>
      <c r="S6" s="15" t="n">
        <v>8</v>
      </c>
    </row>
    <row r="7">
      <c r="E7" t="inlineStr">
        <is>
          <t>Hub clients total</t>
        </is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3</v>
      </c>
      <c r="N7" s="15" t="n">
        <v>5.98</v>
      </c>
      <c r="O7" s="15" t="n">
        <v>9.93</v>
      </c>
      <c r="P7" s="15" t="n">
        <v>14.86</v>
      </c>
      <c r="Q7" s="15" t="n">
        <v>20.73</v>
      </c>
      <c r="R7" s="15" t="n">
        <v>27.56</v>
      </c>
      <c r="S7" s="15" t="n">
        <v>35.34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GRILLE TARIFAIRE</t>
        </is>
      </c>
    </row>
    <row r="3">
      <c r="A3" s="8" t="inlineStr">
        <is>
          <t>Offre</t>
        </is>
      </c>
      <c r="B3" s="8" t="inlineStr">
        <is>
          <t>M1-M6</t>
        </is>
      </c>
      <c r="C3" s="8" t="inlineStr">
        <is>
          <t>M7-M14</t>
        </is>
      </c>
      <c r="D3" s="8" t="inlineStr">
        <is>
          <t>Évolution</t>
        </is>
      </c>
    </row>
    <row r="4">
      <c r="A4" t="inlineStr">
        <is>
          <t>Hackathon</t>
        </is>
      </c>
      <c r="B4" s="16" t="n">
        <v>18000</v>
      </c>
      <c r="C4" s="16" t="n">
        <v>19800</v>
      </c>
      <c r="D4" t="inlineStr">
        <is>
          <t>+10%</t>
        </is>
      </c>
    </row>
    <row r="5">
      <c r="A5" t="inlineStr">
        <is>
          <t>Factory</t>
        </is>
      </c>
      <c r="B5" s="16" t="n">
        <v>75000</v>
      </c>
      <c r="C5" s="16" t="n">
        <v>82500</v>
      </c>
      <c r="D5" t="inlineStr">
        <is>
          <t>+10%</t>
        </is>
      </c>
    </row>
    <row r="6">
      <c r="A6" t="inlineStr">
        <is>
          <t>Hub Starter (MRR)</t>
        </is>
      </c>
      <c r="B6" s="16" t="n">
        <v>500</v>
      </c>
      <c r="C6" s="16" t="n">
        <v>500</v>
      </c>
      <c r="D6" t="inlineStr">
        <is>
          <t>Fixe</t>
        </is>
      </c>
    </row>
    <row r="7">
      <c r="A7" t="inlineStr">
        <is>
          <t>Hub Business (MRR)</t>
        </is>
      </c>
      <c r="B7" s="16" t="n">
        <v>2000</v>
      </c>
      <c r="C7" s="16" t="n">
        <v>2000</v>
      </c>
      <c r="D7" t="inlineStr">
        <is>
          <t>Fixe</t>
        </is>
      </c>
    </row>
    <row r="8">
      <c r="A8" t="inlineStr">
        <is>
          <t>Hub Enterprise (MRR)</t>
        </is>
      </c>
      <c r="B8" s="16" t="n">
        <v>10000</v>
      </c>
      <c r="C8" s="16" t="n">
        <v>10000</v>
      </c>
      <c r="D8" t="inlineStr">
        <is>
          <t>Fixe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</cols>
  <sheetData>
    <row r="1">
      <c r="A1" s="3" t="inlineStr">
        <is>
          <t>PLAN DE FINANCEMENT</t>
        </is>
      </c>
    </row>
    <row r="3">
      <c r="A3" s="8" t="inlineStr">
        <is>
          <t>Événement</t>
        </is>
      </c>
      <c r="B3" s="8" t="inlineStr">
        <is>
          <t>Mois</t>
        </is>
      </c>
      <c r="C3" s="8" t="inlineStr">
        <is>
          <t>Montant</t>
        </is>
      </c>
    </row>
    <row r="4">
      <c r="A4" t="inlineStr">
        <is>
          <t>Pre-seed Closing</t>
        </is>
      </c>
      <c r="B4" t="inlineStr">
        <is>
          <t>M1</t>
        </is>
      </c>
      <c r="C4" s="6" t="n">
        <v>150000</v>
      </c>
    </row>
    <row r="5">
      <c r="A5" t="inlineStr">
        <is>
          <t>Seed Round</t>
        </is>
      </c>
      <c r="B5" t="inlineStr">
        <is>
          <t>M11</t>
        </is>
      </c>
      <c r="C5" s="6" t="n">
        <v>500000</v>
      </c>
    </row>
    <row r="7">
      <c r="A7" s="4" t="inlineStr">
        <is>
          <t>Détail Pre-seed:</t>
        </is>
      </c>
    </row>
    <row r="8">
      <c r="A8" t="inlineStr">
        <is>
          <t xml:space="preserve">  Autoposia Loan</t>
        </is>
      </c>
      <c r="C8" s="6" t="n">
        <v>50000</v>
      </c>
    </row>
    <row r="9">
      <c r="A9" t="inlineStr">
        <is>
          <t xml:space="preserve">  F Initiatives Innovation</t>
        </is>
      </c>
      <c r="C9" s="6" t="n">
        <v>15000</v>
      </c>
    </row>
    <row r="10">
      <c r="A10" t="inlineStr">
        <is>
          <t xml:space="preserve">  F Initiatives Creation</t>
        </is>
      </c>
      <c r="C10" s="6" t="n">
        <v>25000</v>
      </c>
    </row>
    <row r="11">
      <c r="A11" t="inlineStr">
        <is>
          <t xml:space="preserve">  Cic Bank</t>
        </is>
      </c>
      <c r="C11" s="6" t="n">
        <v>30000</v>
      </c>
    </row>
    <row r="12">
      <c r="A12" t="inlineStr">
        <is>
          <t xml:space="preserve">  Bpi Bourse French Tech</t>
        </is>
      </c>
      <c r="C12" s="6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0" customWidth="1" min="5" max="5"/>
  </cols>
  <sheetData>
    <row r="1">
      <c r="A1" s="3" t="inlineStr">
        <is>
          <t>MÉTRIQUES SAAS - Enterprise Hub</t>
        </is>
      </c>
    </row>
    <row r="2">
      <c r="E2" s="8" t="inlineStr">
        <is>
          <t>Mois</t>
        </is>
      </c>
      <c r="F2" s="8" t="inlineStr">
        <is>
          <t>M1</t>
        </is>
      </c>
      <c r="G2" s="8" t="inlineStr">
        <is>
          <t>M2</t>
        </is>
      </c>
      <c r="H2" s="8" t="inlineStr">
        <is>
          <t>M3</t>
        </is>
      </c>
      <c r="I2" s="8" t="inlineStr">
        <is>
          <t>M4</t>
        </is>
      </c>
      <c r="J2" s="8" t="inlineStr">
        <is>
          <t>M5</t>
        </is>
      </c>
      <c r="K2" s="8" t="inlineStr">
        <is>
          <t>M6</t>
        </is>
      </c>
      <c r="L2" s="8" t="inlineStr">
        <is>
          <t>M7</t>
        </is>
      </c>
      <c r="M2" s="8" t="inlineStr">
        <is>
          <t>M8</t>
        </is>
      </c>
      <c r="N2" s="8" t="inlineStr">
        <is>
          <t>M9</t>
        </is>
      </c>
      <c r="O2" s="8" t="inlineStr">
        <is>
          <t>M10</t>
        </is>
      </c>
      <c r="P2" s="8" t="inlineStr">
        <is>
          <t>M11</t>
        </is>
      </c>
      <c r="Q2" s="8" t="inlineStr">
        <is>
          <t>M12</t>
        </is>
      </c>
      <c r="R2" s="8" t="inlineStr">
        <is>
          <t>M13</t>
        </is>
      </c>
      <c r="S2" s="8" t="inlineStr">
        <is>
          <t>M14</t>
        </is>
      </c>
    </row>
    <row r="4">
      <c r="E4" t="inlineStr">
        <is>
          <t>MRR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5700</v>
      </c>
      <c r="N4" s="5" t="n">
        <v>11354.4</v>
      </c>
      <c r="O4" s="5" t="n">
        <v>18884</v>
      </c>
      <c r="P4" s="5" t="n">
        <v>28555.8496</v>
      </c>
      <c r="Q4" s="5" t="n">
        <v>40064.6048</v>
      </c>
      <c r="R4" s="5" t="n">
        <v>53547.73760000001</v>
      </c>
      <c r="S4" s="5" t="n">
        <v>68900.7904</v>
      </c>
    </row>
    <row r="5">
      <c r="E5" t="inlineStr">
        <is>
          <t>ARR</t>
        </is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68400</v>
      </c>
      <c r="N5" s="5" t="n">
        <v>136252.8</v>
      </c>
      <c r="O5" s="5" t="n">
        <v>226608</v>
      </c>
      <c r="P5" s="5" t="n">
        <v>342670.1952</v>
      </c>
      <c r="Q5" s="5" t="n">
        <v>480775.2576</v>
      </c>
      <c r="R5" s="5" t="n">
        <v>642572.8512000002</v>
      </c>
      <c r="S5" s="5" t="n">
        <v>826809.4848</v>
      </c>
    </row>
    <row r="6">
      <c r="E6" t="inlineStr">
        <is>
          <t>Clients Starter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1.8</v>
      </c>
      <c r="N6" s="15" t="n">
        <v>3.59</v>
      </c>
      <c r="O6" s="15" t="n">
        <v>5.96</v>
      </c>
      <c r="P6" s="15" t="n">
        <v>8.73</v>
      </c>
      <c r="Q6" s="15" t="n">
        <v>12.01</v>
      </c>
      <c r="R6" s="15" t="n">
        <v>15.79</v>
      </c>
      <c r="S6" s="15" t="n">
        <v>20.05</v>
      </c>
    </row>
    <row r="7">
      <c r="E7" t="inlineStr">
        <is>
          <t>Clients Business</t>
        </is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0.9</v>
      </c>
      <c r="N7" s="15" t="n">
        <v>1.79</v>
      </c>
      <c r="O7" s="15" t="n">
        <v>2.98</v>
      </c>
      <c r="P7" s="15" t="n">
        <v>4.63</v>
      </c>
      <c r="Q7" s="15" t="n">
        <v>6.64</v>
      </c>
      <c r="R7" s="15" t="n">
        <v>9.01</v>
      </c>
      <c r="S7" s="15" t="n">
        <v>11.75</v>
      </c>
    </row>
    <row r="8">
      <c r="E8" t="inlineStr">
        <is>
          <t>Clients Enterprise</t>
        </is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0.3</v>
      </c>
      <c r="N8" s="15" t="n">
        <v>0.6</v>
      </c>
      <c r="O8" s="15" t="n">
        <v>1</v>
      </c>
      <c r="P8" s="15" t="n">
        <v>1.49</v>
      </c>
      <c r="Q8" s="15" t="n">
        <v>2.08</v>
      </c>
      <c r="R8" s="15" t="n">
        <v>2.76</v>
      </c>
      <c r="S8" s="15" t="n">
        <v>3.54</v>
      </c>
    </row>
    <row r="9">
      <c r="E9" t="inlineStr">
        <is>
          <t>Clients Total</t>
        </is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3</v>
      </c>
      <c r="N9" s="15" t="n">
        <v>5.98</v>
      </c>
      <c r="O9" s="15" t="n">
        <v>9.93</v>
      </c>
      <c r="P9" s="15" t="n">
        <v>14.86</v>
      </c>
      <c r="Q9" s="15" t="n">
        <v>20.73</v>
      </c>
      <c r="R9" s="15" t="n">
        <v>27.56</v>
      </c>
      <c r="S9" s="15" t="n">
        <v>35.34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2025-11-20T17:49:10Z</dcterms:created>
  <dcterms:modified xmlns:dcterms="http://purl.org/dc/terms/" xmlns:xsi="http://www.w3.org/2001/XMLSchema-instance" xsi:type="dcterms:W3CDTF">2025-11-20T17:49:10Z</dcterms:modified>
</cp:coreProperties>
</file>