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Documenta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46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FFFF"/>
      <sz val="12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sz val="12"/>
    </font>
    <font>
      <color rgb="00FF0000"/>
    </font>
    <font>
      <color rgb="0000CC00"/>
    </font>
    <font>
      <i val="1"/>
    </font>
    <font>
      <i val="1"/>
      <color rgb="00666666"/>
      <sz val="9"/>
    </font>
    <font>
      <b val="1"/>
      <color rgb="00FFFFFF"/>
    </font>
    <font>
      <b val="1"/>
      <color rgb="00FF0000"/>
      <sz val="14"/>
    </font>
    <font>
      <b val="1"/>
      <color rgb="00000000"/>
      <sz val="14"/>
    </font>
  </fonts>
  <fills count="32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9966FF"/>
        <bgColor rgb="009966FF"/>
      </patternFill>
    </fill>
    <fill>
      <patternFill patternType="solid">
        <fgColor rgb="00FF9900"/>
        <bgColor rgb="00FF9900"/>
      </patternFill>
    </fill>
    <fill>
      <patternFill patternType="solid">
        <fgColor rgb="000066CC"/>
        <bgColor rgb="000066CC"/>
      </patternFill>
    </fill>
    <fill>
      <patternFill patternType="solid">
        <fgColor rgb="00FF6600"/>
        <bgColor rgb="00FF6600"/>
      </patternFill>
    </fill>
    <fill>
      <patternFill patternType="solid">
        <fgColor rgb="00CC0000"/>
        <bgColor rgb="00CC0000"/>
      </patternFill>
    </fill>
    <fill>
      <patternFill patternType="solid">
        <fgColor rgb="00666666"/>
        <bgColor rgb="00666666"/>
      </patternFill>
    </fill>
    <fill>
      <patternFill patternType="solid">
        <fgColor rgb="00FF3366"/>
        <bgColor rgb="00FF3366"/>
      </patternFill>
    </fill>
    <fill>
      <patternFill patternType="solid">
        <fgColor rgb="0000CC66"/>
        <bgColor rgb="0000CC66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91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44" fillId="30" borderId="0" applyAlignment="1" pivotButton="0" quotePrefix="0" xfId="0">
      <alignment vertical="bottom"/>
    </xf>
    <xf numFmtId="0" fontId="37" fillId="24" borderId="0" pivotButton="0" quotePrefix="0" xfId="0"/>
    <xf numFmtId="0" fontId="33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2" fillId="22" borderId="0" pivotButton="0" quotePrefix="0" xfId="0"/>
    <xf numFmtId="0" fontId="32" fillId="23" borderId="0" pivotButton="0" quotePrefix="0" xfId="0"/>
    <xf numFmtId="0" fontId="32" fillId="28" borderId="0" applyAlignment="1" pivotButton="0" quotePrefix="0" xfId="0">
      <alignment horizontal="center"/>
    </xf>
    <xf numFmtId="0" fontId="41" fillId="0" borderId="0" pivotButton="0" quotePrefix="0" xfId="0"/>
    <xf numFmtId="0" fontId="42" fillId="0" borderId="0" pivotButton="0" quotePrefix="0" xfId="0"/>
    <xf numFmtId="0" fontId="32" fillId="25" borderId="0" pivotButton="0" quotePrefix="0" xfId="0"/>
    <xf numFmtId="0" fontId="33" fillId="14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pivotButton="0" quotePrefix="0" xfId="0"/>
    <xf numFmtId="0" fontId="43" fillId="29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26" borderId="0" pivotButton="0" quotePrefix="0" xfId="0"/>
    <xf numFmtId="0" fontId="37" fillId="27" borderId="0" pivotButton="0" quotePrefix="0" xfId="0"/>
    <xf numFmtId="0" fontId="38" fillId="0" borderId="0" pivotButton="0" quotePrefix="0" xfId="0"/>
    <xf numFmtId="3" fontId="45" fillId="31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90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s="0" t="inlineStr">
        <is>
          <t>Milestone</t>
        </is>
      </c>
      <c r="Z4" s="0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s="0" t="inlineStr">
        <is>
          <t>M1 (Bootstrap)</t>
        </is>
      </c>
      <c r="Z5" s="0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s="0" t="inlineStr">
        <is>
          <t>M6 (PRE-SEED)</t>
        </is>
      </c>
      <c r="Z6" s="0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s="0" t="inlineStr">
        <is>
          <t>M12 (SEED)</t>
        </is>
      </c>
      <c r="Z7" s="0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s="0" t="inlineStr">
        <is>
          <t>M18 (Post Seed)</t>
        </is>
      </c>
      <c r="Z8" s="0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s="0" t="inlineStr">
        <is>
          <t>M36 (Series A)</t>
        </is>
      </c>
      <c r="Z9" s="0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s="0" t="inlineStr">
        <is>
          <t>M48 (Pre Series B)</t>
        </is>
      </c>
      <c r="Z10" s="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s="0" t="inlineStr">
        <is>
          <t>KPI</t>
        </is>
      </c>
      <c r="Z13" s="0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s="0" t="inlineStr">
        <is>
          <t>Target LTV/CAC</t>
        </is>
      </c>
      <c r="Z14" s="0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s="0" t="inlineStr">
        <is>
          <t>Max Churn Annual</t>
        </is>
      </c>
      <c r="Z15" s="0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s="0" t="inlineStr">
        <is>
          <t>Marge Brute Target</t>
        </is>
      </c>
      <c r="Z16" s="0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s="0" t="inlineStr">
        <is>
          <t>EBITDA Margin Target</t>
        </is>
      </c>
      <c r="Z17" s="0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s="0" t="inlineStr">
        <is>
          <t>Min Cash Runway</t>
        </is>
      </c>
      <c r="Z18" s="0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s="0" t="inlineStr">
        <is>
          <t>Max Burn Rate</t>
        </is>
      </c>
      <c r="Z19" s="0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s="0" t="inlineStr">
        <is>
          <t>• Conversion hackathon → factory 30%</t>
        </is>
      </c>
      <c r="Z22" s="0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s="0" t="inlineStr">
        <is>
          <t>• Lancement Hub M8 sans retard</t>
        </is>
      </c>
      <c r="Z23" s="0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s="0" t="inlineStr">
        <is>
          <t>• Seed 500K€ en Sept 2026</t>
        </is>
      </c>
      <c r="Z24" s="0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s="0" t="inlineStr">
        <is>
          <t>• Churn Hub 10% annuel</t>
        </is>
      </c>
      <c r="Z25" s="0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s="0" t="inlineStr">
        <is>
          <t>• Équipe 5 → 12 ETP sans turnover</t>
        </is>
      </c>
      <c r="Z26" s="0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</row>
    <row r="4" ht="15.75" customHeight="1" s="362">
      <c r="A4" s="365" t="inlineStr">
        <is>
          <t>MRR (Monthly Recurring Revenue)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15200</v>
      </c>
      <c r="N4" t="n">
        <v>34078.4</v>
      </c>
      <c r="O4" t="n">
        <v>56567.67999999999</v>
      </c>
      <c r="P4" t="n">
        <v>85463.89120000001</v>
      </c>
      <c r="Q4" t="n">
        <v>120114.4544</v>
      </c>
      <c r="R4" t="n">
        <v>158532.0704</v>
      </c>
      <c r="S4" t="n">
        <v>200860.448</v>
      </c>
      <c r="T4" t="n">
        <v>246979.3568</v>
      </c>
      <c r="U4" t="n">
        <v>297002.5792</v>
      </c>
      <c r="V4" t="n">
        <v>350849.5648000001</v>
      </c>
      <c r="W4" t="n">
        <v>408515.056</v>
      </c>
      <c r="X4" t="n">
        <v>470022.96</v>
      </c>
      <c r="Y4" t="n">
        <v>535263.5615999999</v>
      </c>
      <c r="Z4" t="n">
        <v>604345.3855999999</v>
      </c>
      <c r="AA4" t="n">
        <v>677178.5568000001</v>
      </c>
      <c r="AB4" t="n">
        <v>753871.6000000001</v>
      </c>
      <c r="AC4" t="n">
        <v>834314.8</v>
      </c>
      <c r="AD4" t="n">
        <v>920435.4816000001</v>
      </c>
      <c r="AE4" t="n">
        <v>1012242.208</v>
      </c>
      <c r="AF4" t="n">
        <v>1107721.8464</v>
      </c>
      <c r="AG4" t="n">
        <v>1206993.008</v>
      </c>
      <c r="AH4" t="n">
        <v>1311869.2352</v>
      </c>
      <c r="AI4" t="n">
        <v>1422364.3488</v>
      </c>
      <c r="AJ4" t="n">
        <v>1536534.0608</v>
      </c>
      <c r="AK4" t="n">
        <v>1654413.5552</v>
      </c>
      <c r="AL4" t="n">
        <v>1777905.0592</v>
      </c>
      <c r="AM4" t="n">
        <v>1906928.4512</v>
      </c>
      <c r="AN4" t="n">
        <v>2039643.9008</v>
      </c>
      <c r="AO4" t="n">
        <v>2175962.2944</v>
      </c>
      <c r="AP4" t="n">
        <v>2317810.9568</v>
      </c>
      <c r="AQ4" t="n">
        <v>2465169.2864</v>
      </c>
      <c r="AR4" t="n">
        <v>2616043.9904</v>
      </c>
      <c r="AS4" t="n">
        <v>2770519.2576</v>
      </c>
      <c r="AT4" t="n">
        <v>2930388.7904</v>
      </c>
      <c r="AU4" t="n">
        <v>3095671.6672</v>
      </c>
      <c r="AV4" t="n">
        <v>3264448.697600001</v>
      </c>
      <c r="AW4" t="n">
        <v>3436715.3856</v>
      </c>
      <c r="AX4" t="n">
        <v>3614384.4736</v>
      </c>
      <c r="AY4" t="n">
        <v>3797449.9424</v>
      </c>
      <c r="AZ4" t="n">
        <v>3983884.0768</v>
      </c>
      <c r="BA4" t="n">
        <v>4173691.7056</v>
      </c>
      <c r="BB4" t="n">
        <v>4368870.1888</v>
      </c>
      <c r="BC4" t="n">
        <v>4569319.5648</v>
      </c>
    </row>
    <row r="5" ht="15.75" customHeight="1" s="362">
      <c r="A5" s="0" t="inlineStr">
        <is>
          <t>---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15200</v>
      </c>
      <c r="N5" t="n">
        <v>34078.4</v>
      </c>
      <c r="O5" t="n">
        <v>56567.67999999999</v>
      </c>
      <c r="P5" t="n">
        <v>85463.89120000001</v>
      </c>
      <c r="Q5" t="n">
        <v>120114.4544</v>
      </c>
      <c r="R5" t="n">
        <v>158532.0704</v>
      </c>
      <c r="S5" t="n">
        <v>200860.448</v>
      </c>
      <c r="T5" t="n">
        <v>246979.3568</v>
      </c>
      <c r="U5" t="n">
        <v>297002.5792</v>
      </c>
      <c r="V5" t="n">
        <v>350849.5648000001</v>
      </c>
      <c r="W5" t="n">
        <v>408515.056</v>
      </c>
      <c r="X5" t="n">
        <v>470022.96</v>
      </c>
      <c r="Y5" t="n">
        <v>535263.5615999999</v>
      </c>
      <c r="Z5" t="n">
        <v>604345.3855999999</v>
      </c>
      <c r="AA5" t="n">
        <v>677178.5568000001</v>
      </c>
      <c r="AB5" t="n">
        <v>753871.6000000001</v>
      </c>
      <c r="AC5" t="n">
        <v>834314.8</v>
      </c>
      <c r="AD5" t="n">
        <v>920435.4816000001</v>
      </c>
      <c r="AE5" t="n">
        <v>1012242.208</v>
      </c>
      <c r="AF5" t="n">
        <v>1107721.8464</v>
      </c>
      <c r="AG5" t="n">
        <v>1206993.008</v>
      </c>
      <c r="AH5" t="n">
        <v>1311869.2352</v>
      </c>
      <c r="AI5" t="n">
        <v>1422364.3488</v>
      </c>
      <c r="AJ5" t="n">
        <v>1536534.0608</v>
      </c>
      <c r="AK5" t="n">
        <v>1654413.5552</v>
      </c>
      <c r="AL5" t="n">
        <v>1777905.0592</v>
      </c>
      <c r="AM5" t="n">
        <v>1906928.4512</v>
      </c>
      <c r="AN5" t="n">
        <v>2039643.9008</v>
      </c>
      <c r="AO5" t="n">
        <v>2175962.2944</v>
      </c>
      <c r="AP5" t="n">
        <v>2317810.9568</v>
      </c>
      <c r="AQ5" t="n">
        <v>2465169.2864</v>
      </c>
      <c r="AR5" t="n">
        <v>2616043.9904</v>
      </c>
      <c r="AS5" t="n">
        <v>2770519.2576</v>
      </c>
      <c r="AT5" t="n">
        <v>2930388.7904</v>
      </c>
      <c r="AU5" t="n">
        <v>3095671.6672</v>
      </c>
      <c r="AV5" t="n">
        <v>3264448.697600001</v>
      </c>
      <c r="AW5" t="n">
        <v>3436715.3856</v>
      </c>
      <c r="AX5" t="n">
        <v>3614384.4736</v>
      </c>
      <c r="AY5" t="n">
        <v>3797449.9424</v>
      </c>
      <c r="AZ5" t="n">
        <v>3983884.0768</v>
      </c>
      <c r="BA5" t="n">
        <v>4173691.7056</v>
      </c>
      <c r="BB5" t="n">
        <v>4368870.1888</v>
      </c>
      <c r="BC5" t="n">
        <v>4569319.5648</v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>
        <v>1425</v>
      </c>
      <c r="G11" s="175" t="n">
        <v>1425</v>
      </c>
      <c r="H11" s="175" t="n">
        <v>1425</v>
      </c>
      <c r="I11" s="175" t="n">
        <v>1425</v>
      </c>
      <c r="J11" s="175" t="n">
        <v>1425</v>
      </c>
      <c r="K11" s="175" t="n">
        <v>1425</v>
      </c>
      <c r="L11" s="175" t="n">
        <v>1425</v>
      </c>
      <c r="M11" s="175" t="n">
        <v>1825</v>
      </c>
      <c r="N11" s="175" t="n">
        <v>2322</v>
      </c>
      <c r="O11" s="175" t="n">
        <v>2914.5</v>
      </c>
      <c r="P11" s="175" t="n">
        <v>3652.5</v>
      </c>
      <c r="Q11" s="175" t="n">
        <v>3912.6</v>
      </c>
      <c r="R11" s="174" t="n">
        <v>4692.200000000001</v>
      </c>
      <c r="S11" s="175" t="n">
        <v>4516.200000000001</v>
      </c>
      <c r="T11" s="175" t="n">
        <v>5356.299999999999</v>
      </c>
      <c r="U11" s="175" t="n">
        <v>6106</v>
      </c>
      <c r="V11" s="175" t="n">
        <v>6909.700000000001</v>
      </c>
      <c r="W11" s="175" t="n">
        <v>7767.099999999999</v>
      </c>
      <c r="X11" s="175" t="n">
        <v>8677.599999999999</v>
      </c>
      <c r="Y11" s="175" t="n">
        <v>9640.299999999999</v>
      </c>
      <c r="Z11" s="175" t="n">
        <v>10655.8</v>
      </c>
      <c r="AA11" s="175" t="n">
        <v>11722.9</v>
      </c>
      <c r="AB11" s="175" t="n">
        <v>12841.6</v>
      </c>
      <c r="AC11" s="175" t="n">
        <v>14011.3</v>
      </c>
      <c r="AD11" s="175" t="n">
        <v>15261.7</v>
      </c>
      <c r="AE11" s="174" t="n">
        <v>16592.2</v>
      </c>
      <c r="AF11" s="175" t="n">
        <v>18146.6</v>
      </c>
      <c r="AG11" s="175" t="n">
        <v>19575.5</v>
      </c>
      <c r="AH11" s="175" t="n">
        <v>21082.7</v>
      </c>
      <c r="AI11" s="175" t="n">
        <v>22667.9</v>
      </c>
      <c r="AJ11" s="175" t="n">
        <v>24300.2</v>
      </c>
      <c r="AK11" s="175" t="n">
        <v>25979.9</v>
      </c>
      <c r="AL11" s="175" t="n">
        <v>27735.8</v>
      </c>
      <c r="AM11" s="175" t="n">
        <v>29567.9</v>
      </c>
      <c r="AN11" s="175" t="n">
        <v>31445.3</v>
      </c>
      <c r="AO11" s="175" t="n">
        <v>33367.7</v>
      </c>
      <c r="AP11" s="175" t="n">
        <v>35364.8</v>
      </c>
      <c r="AQ11" s="175" t="n">
        <v>37435.7</v>
      </c>
      <c r="AR11" s="174" t="n">
        <v>39691.4</v>
      </c>
      <c r="AS11" s="175" t="n">
        <v>41849.3</v>
      </c>
      <c r="AT11" s="175" t="n">
        <v>44079.2</v>
      </c>
      <c r="AU11" s="175" t="n">
        <v>46381.7</v>
      </c>
      <c r="AV11" s="175" t="n">
        <v>48725.3</v>
      </c>
      <c r="AW11" s="175" t="n">
        <v>51110.6</v>
      </c>
      <c r="AX11" s="175" t="n">
        <v>53566.7</v>
      </c>
      <c r="AY11" s="175" t="n">
        <v>56093.60000000001</v>
      </c>
      <c r="AZ11" s="175" t="n">
        <v>58659.8</v>
      </c>
      <c r="BA11" s="175" t="n">
        <v>61265.6</v>
      </c>
      <c r="BB11" s="175" t="n">
        <v>63940.7</v>
      </c>
      <c r="BC11" s="175" t="n">
        <v>66684.20000000001</v>
      </c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>
        <v>12491.66666666667</v>
      </c>
      <c r="G19" s="203" t="n">
        <v>12491.66666666667</v>
      </c>
      <c r="H19" s="203" t="n">
        <v>12491.66666666667</v>
      </c>
      <c r="I19" s="203" t="n">
        <v>12491.66666666667</v>
      </c>
      <c r="J19" s="203" t="n">
        <v>12491.66666666667</v>
      </c>
      <c r="K19" s="203" t="n">
        <v>12491.66666666667</v>
      </c>
      <c r="L19" s="203" t="n">
        <v>12491.66666666667</v>
      </c>
      <c r="M19" s="203" t="n">
        <v>12491.66666666667</v>
      </c>
      <c r="N19" s="203" t="n">
        <v>12491.66666666667</v>
      </c>
      <c r="O19" s="203" t="n">
        <v>12491.66666666667</v>
      </c>
      <c r="P19" s="203" t="n">
        <v>12491.66666666667</v>
      </c>
      <c r="Q19" s="203" t="n">
        <v>12491.66666666667</v>
      </c>
      <c r="R19" s="191" t="n">
        <v>12491.66666666667</v>
      </c>
      <c r="S19" s="203" t="n">
        <v>12491.66666666667</v>
      </c>
      <c r="T19" s="203" t="n">
        <v>57320.83333333333</v>
      </c>
      <c r="U19" s="203" t="n">
        <v>57320.83333333333</v>
      </c>
      <c r="V19" s="203" t="n">
        <v>57320.83333333333</v>
      </c>
      <c r="W19" s="203" t="n">
        <v>57320.83333333333</v>
      </c>
      <c r="X19" s="203" t="n">
        <v>57320.83333333333</v>
      </c>
      <c r="Y19" s="203" t="n">
        <v>57320.83333333333</v>
      </c>
      <c r="Z19" s="203" t="n">
        <v>57320.83333333333</v>
      </c>
      <c r="AA19" s="203" t="n">
        <v>57320.83333333333</v>
      </c>
      <c r="AB19" s="203" t="n">
        <v>57320.83333333333</v>
      </c>
      <c r="AC19" s="203" t="n">
        <v>57320.83333333333</v>
      </c>
      <c r="AD19" s="203" t="n">
        <v>57320.83333333333</v>
      </c>
      <c r="AE19" s="191" t="n">
        <v>57320.83333333333</v>
      </c>
      <c r="AF19" s="203" t="n">
        <v>88375</v>
      </c>
      <c r="AG19" s="203" t="n">
        <v>88375</v>
      </c>
      <c r="AH19" s="203" t="n">
        <v>88375</v>
      </c>
      <c r="AI19" s="203" t="n">
        <v>88375</v>
      </c>
      <c r="AJ19" s="203" t="n">
        <v>88375</v>
      </c>
      <c r="AK19" s="203" t="n">
        <v>88375</v>
      </c>
      <c r="AL19" s="203" t="n">
        <v>88375</v>
      </c>
      <c r="AM19" s="203" t="n">
        <v>88375</v>
      </c>
      <c r="AN19" s="203" t="n">
        <v>88375</v>
      </c>
      <c r="AO19" s="203" t="n">
        <v>88375</v>
      </c>
      <c r="AP19" s="203" t="n">
        <v>88375</v>
      </c>
      <c r="AQ19" s="203" t="n">
        <v>88375</v>
      </c>
      <c r="AR19" s="191" t="n">
        <v>107466.6666666667</v>
      </c>
      <c r="AS19" s="203" t="n">
        <v>107466.6666666667</v>
      </c>
      <c r="AT19" s="203" t="n">
        <v>107466.6666666667</v>
      </c>
      <c r="AU19" s="203" t="n">
        <v>107466.6666666667</v>
      </c>
      <c r="AV19" s="203" t="n">
        <v>107466.6666666667</v>
      </c>
      <c r="AW19" s="203" t="n">
        <v>107466.6666666667</v>
      </c>
      <c r="AX19" s="203" t="n">
        <v>107466.6666666667</v>
      </c>
      <c r="AY19" s="203" t="n">
        <v>107466.6666666667</v>
      </c>
      <c r="AZ19" s="203" t="n">
        <v>107466.6666666667</v>
      </c>
      <c r="BA19" s="203" t="n">
        <v>107466.6666666667</v>
      </c>
      <c r="BB19" s="203" t="n">
        <v>107466.6666666667</v>
      </c>
      <c r="BC19" s="203" t="n">
        <v>107466.6666666667</v>
      </c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s="0" t="inlineStr">
        <is>
          <t>FINANCIAL KPIs</t>
        </is>
      </c>
      <c r="K1" s="0" t="inlineStr">
        <is>
          <t>VALIDATION RULES</t>
        </is>
      </c>
      <c r="O1" s="0" t="inlineStr">
        <is>
          <t>HYPOTHÈSES BUSINESS</t>
        </is>
      </c>
      <c r="R1" s="373" t="inlineStr">
        <is>
          <t>COÛTS RH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s="0" t="inlineStr">
        <is>
          <t>Métrique</t>
        </is>
      </c>
      <c r="I2" s="0" t="inlineStr">
        <is>
          <t>Valeur</t>
        </is>
      </c>
      <c r="K2" s="0" t="inlineStr">
        <is>
          <t>Règle</t>
        </is>
      </c>
      <c r="L2" s="0" t="inlineStr">
        <is>
          <t>Min</t>
        </is>
      </c>
      <c r="M2" s="0" t="inlineStr">
        <is>
          <t>Max</t>
        </is>
      </c>
      <c r="O2" s="0" t="inlineStr">
        <is>
          <t>Hypothèse</t>
        </is>
      </c>
      <c r="P2" s="0" t="inlineStr">
        <is>
          <t>Valeur</t>
        </is>
      </c>
      <c r="R2" s="365" t="inlineStr">
        <is>
          <t>Paramètre</t>
        </is>
      </c>
      <c r="S2" s="365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s="0" t="inlineStr">
        <is>
          <t>ARR Target M14</t>
        </is>
      </c>
      <c r="I3" s="0" t="n">
        <v>800000</v>
      </c>
      <c r="K3" s="0" t="inlineStr">
        <is>
          <t>ARR M14</t>
        </is>
      </c>
      <c r="L3" s="0" t="n">
        <v>720000</v>
      </c>
      <c r="M3" s="0" t="n">
        <v>880000</v>
      </c>
      <c r="O3" s="0" t="inlineStr">
        <is>
          <t>Conversion Hackathon→Factory</t>
        </is>
      </c>
      <c r="P3" s="0" t="inlineStr">
        <is>
          <t>35.0%</t>
        </is>
      </c>
      <c r="R3" s="0" t="inlineStr">
        <is>
          <t>Charges sociales (%)</t>
        </is>
      </c>
      <c r="S3" s="0" t="inlineStr">
        <is>
          <t>45.0%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s="0" t="inlineStr">
        <is>
          <t>ARR Target M11</t>
        </is>
      </c>
      <c r="I4" s="0" t="n">
        <v>450000</v>
      </c>
      <c r="K4" s="0" t="inlineStr">
        <is>
          <t>ARR M11</t>
        </is>
      </c>
      <c r="L4" s="0" t="n">
        <v>400000</v>
      </c>
      <c r="M4" s="0" t="inlineStr">
        <is>
          <t>-</t>
        </is>
      </c>
      <c r="O4" s="0" t="inlineStr">
        <is>
          <t>Churn Hub Monthly</t>
        </is>
      </c>
      <c r="P4" s="0" t="inlineStr">
        <is>
          <t>0.8%</t>
        </is>
      </c>
      <c r="R4" s="0" t="inlineStr">
        <is>
          <t>Salaire moyen brut (€/an)</t>
        </is>
      </c>
      <c r="S4" s="0" t="n">
        <v>60000</v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s="0" t="inlineStr">
        <is>
          <t>Marge Brute Target</t>
        </is>
      </c>
      <c r="I5" s="0" t="inlineStr">
        <is>
          <t>70%</t>
        </is>
      </c>
      <c r="K5" s="0" t="inlineStr">
        <is>
          <t>Team Size M14</t>
        </is>
      </c>
      <c r="L5" s="0" t="n">
        <v>4</v>
      </c>
      <c r="M5" s="0" t="n">
        <v>15</v>
      </c>
      <c r="O5" s="0" t="inlineStr">
        <is>
          <t>Launch Hub</t>
        </is>
      </c>
      <c r="P5" s="0" t="inlineStr">
        <is>
          <t>M8</t>
        </is>
      </c>
      <c r="R5" s="0" t="inlineStr">
        <is>
          <t>Coût total ETP (€/an)</t>
        </is>
      </c>
      <c r="S5" s="0">
        <f>S4*(1+0.45)</f>
        <v/>
      </c>
    </row>
    <row r="6" ht="13.5" customHeight="1" s="362">
      <c r="G6" s="324" t="inlineStr">
        <is>
          <t>ARPA annuel en K (Enterprise Hub)</t>
        </is>
      </c>
      <c r="H6" s="0" t="inlineStr">
        <is>
          <t>EBITDA Margin Target</t>
        </is>
      </c>
      <c r="I6" s="0" t="inlineStr">
        <is>
          <t>-15%</t>
        </is>
      </c>
      <c r="K6" s="0" t="inlineStr">
        <is>
          <t>Burn Monthly</t>
        </is>
      </c>
      <c r="L6" s="0" t="inlineStr">
        <is>
          <t>-</t>
        </is>
      </c>
      <c r="M6" s="0" t="n">
        <v>60000</v>
      </c>
      <c r="O6" s="0" t="inlineStr">
        <is>
          <t>Délai Factory (mois)</t>
        </is>
      </c>
      <c r="P6" s="0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s="0" t="inlineStr">
        <is>
          <t>Min Cash Runway (mois)</t>
        </is>
      </c>
      <c r="I7" s="0" t="n">
        <v>12</v>
      </c>
      <c r="K7" s="0" t="inlineStr">
        <is>
          <t>Cash Balance Min</t>
        </is>
      </c>
      <c r="L7" s="0" t="n">
        <v>50000</v>
      </c>
      <c r="M7" s="0" t="inlineStr">
        <is>
          <t>-</t>
        </is>
      </c>
      <c r="O7" s="0" t="inlineStr">
        <is>
          <t>Tier Starter %</t>
        </is>
      </c>
      <c r="P7" s="0" t="inlineStr">
        <is>
          <t>60.0%</t>
        </is>
      </c>
      <c r="R7" s="374" t="inlineStr">
        <is>
          <t>VOLUMES COMMERCIAUX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s="0" t="inlineStr">
        <is>
          <t>Burn Rate Max (€/mois)</t>
        </is>
      </c>
      <c r="I8" s="0" t="n">
        <v>50000</v>
      </c>
      <c r="K8" s="0" t="inlineStr">
        <is>
          <t>Conversion Hackathon→Factory</t>
        </is>
      </c>
      <c r="L8" s="0" t="inlineStr">
        <is>
          <t>25.0%</t>
        </is>
      </c>
      <c r="M8" s="0" t="inlineStr">
        <is>
          <t>-</t>
        </is>
      </c>
      <c r="O8" s="0" t="inlineStr">
        <is>
          <t>Tier Business %</t>
        </is>
      </c>
      <c r="P8" s="0" t="inlineStr">
        <is>
          <t>30.0%</t>
        </is>
      </c>
      <c r="R8" s="365" t="inlineStr">
        <is>
          <t>Produit</t>
        </is>
      </c>
      <c r="S8" s="365" t="inlineStr">
        <is>
          <t>Volume/mois (moy)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s="0" t="inlineStr">
        <is>
          <t>Target LTV/CAC</t>
        </is>
      </c>
      <c r="I9" s="0" t="n">
        <v>8</v>
      </c>
      <c r="K9" s="0" t="inlineStr">
        <is>
          <t>Churn Hub Monthly Max</t>
        </is>
      </c>
      <c r="L9" s="0" t="inlineStr">
        <is>
          <t>-</t>
        </is>
      </c>
      <c r="M9" s="0" t="inlineStr">
        <is>
          <t>1.5%</t>
        </is>
      </c>
      <c r="O9" s="0" t="inlineStr">
        <is>
          <t>Tier Enterprise %</t>
        </is>
      </c>
      <c r="P9" s="0" t="inlineStr">
        <is>
          <t>10.0%</t>
        </is>
      </c>
      <c r="R9" s="0" t="inlineStr">
        <is>
          <t>Hackathons</t>
        </is>
      </c>
      <c r="S9" s="0" t="inlineStr">
        <is>
          <t>7.3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s="0" t="inlineStr">
        <is>
          <t>Max Churn Annual</t>
        </is>
      </c>
      <c r="I10" s="0" t="inlineStr">
        <is>
          <t>15.0%</t>
        </is>
      </c>
      <c r="R10" s="0" t="inlineStr">
        <is>
          <t>Factory conversions</t>
        </is>
      </c>
      <c r="S10" s="0">
        <f>7.3*0.35</f>
        <v/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  <c r="R11" s="0" t="inlineStr">
        <is>
          <t>Hub nouveaux clients</t>
        </is>
      </c>
      <c r="S11" s="0" t="inlineStr">
        <is>
          <t>Variable (launch M8)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8</v>
      </c>
      <c r="N11" s="249" t="n">
        <v>17.94</v>
      </c>
      <c r="O11" s="249" t="n">
        <v>29.79</v>
      </c>
      <c r="P11" s="249" t="n">
        <v>44.55</v>
      </c>
      <c r="Q11" s="249" t="n">
        <v>62.19</v>
      </c>
      <c r="R11" s="257">
        <f>SUM(S11:AD11)</f>
        <v/>
      </c>
      <c r="S11" s="249" t="n">
        <v>103.04</v>
      </c>
      <c r="T11" s="249" t="n">
        <v>126.21</v>
      </c>
      <c r="U11" s="249" t="n">
        <v>151.2</v>
      </c>
      <c r="V11" s="249" t="n">
        <v>177.99</v>
      </c>
      <c r="W11" s="249" t="n">
        <v>206.57</v>
      </c>
      <c r="X11" s="249" t="n">
        <v>236.92</v>
      </c>
      <c r="Y11" s="249" t="n">
        <v>269.01</v>
      </c>
      <c r="Z11" s="249" t="n">
        <v>302.86</v>
      </c>
      <c r="AA11" s="249" t="n">
        <v>338.43</v>
      </c>
      <c r="AB11" s="249" t="n">
        <v>375.72</v>
      </c>
      <c r="AC11" s="249" t="n">
        <v>414.71</v>
      </c>
      <c r="AD11" s="249" t="n">
        <v>456.39</v>
      </c>
      <c r="AE11" s="257">
        <f>SUM(AF11:AQ11)</f>
        <v/>
      </c>
      <c r="AF11" s="249" t="n">
        <v>546.72</v>
      </c>
      <c r="AG11" s="249" t="n">
        <v>594.35</v>
      </c>
      <c r="AH11" s="249" t="n">
        <v>644.59</v>
      </c>
      <c r="AI11" s="249" t="n">
        <v>697.4299999999999</v>
      </c>
      <c r="AJ11" s="249" t="n">
        <v>751.84</v>
      </c>
      <c r="AK11" s="249" t="n">
        <v>807.83</v>
      </c>
      <c r="AL11" s="249" t="n">
        <v>866.36</v>
      </c>
      <c r="AM11" s="249" t="n">
        <v>927.4299999999999</v>
      </c>
      <c r="AN11" s="249" t="n">
        <v>990.01</v>
      </c>
      <c r="AO11" s="249" t="n">
        <v>1054.09</v>
      </c>
      <c r="AP11" s="249" t="n">
        <v>1120.66</v>
      </c>
      <c r="AQ11" s="249" t="n">
        <v>1189.69</v>
      </c>
      <c r="AR11" s="257">
        <f>SUM(AS11:BD11)</f>
        <v/>
      </c>
      <c r="AS11" s="249" t="n">
        <v>1332.11</v>
      </c>
      <c r="AT11" s="249" t="n">
        <v>1406.44</v>
      </c>
      <c r="AU11" s="249" t="n">
        <v>1483.19</v>
      </c>
      <c r="AV11" s="249" t="n">
        <v>1561.31</v>
      </c>
      <c r="AW11" s="249" t="n">
        <v>1640.82</v>
      </c>
      <c r="AX11" s="249" t="n">
        <v>1722.69</v>
      </c>
      <c r="AY11" s="249" t="n">
        <v>1806.92</v>
      </c>
      <c r="AZ11" s="249" t="n">
        <v>1892.46</v>
      </c>
      <c r="BA11" s="249" t="n">
        <v>1979.32</v>
      </c>
      <c r="BB11" s="249" t="n">
        <v>2068.49</v>
      </c>
      <c r="BC11" s="249" t="n">
        <v>2159.94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200860.448</v>
      </c>
      <c r="T13" s="258">
        <f>T10</f>
        <v/>
      </c>
      <c r="U13" s="258" t="n">
        <v>297002.5792</v>
      </c>
      <c r="V13" s="258" t="n">
        <v>350849.5648000001</v>
      </c>
      <c r="W13" s="258">
        <f>W10</f>
        <v/>
      </c>
      <c r="X13" s="258" t="n">
        <v>470022.96</v>
      </c>
      <c r="Y13" s="258">
        <f>Y10</f>
        <v/>
      </c>
      <c r="Z13" s="258">
        <f>Z10</f>
        <v/>
      </c>
      <c r="AA13" s="258" t="n">
        <v>677178.5568000001</v>
      </c>
      <c r="AB13" s="258" t="n">
        <v>753871.6000000001</v>
      </c>
      <c r="AC13" s="258" t="n">
        <v>834314.8</v>
      </c>
      <c r="AD13" s="258" t="n">
        <v>920435.4816000001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8126142.681600002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26111547.5328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43372613.6832</v>
      </c>
      <c r="AY15" s="258" t="n">
        <v>45569399.3088</v>
      </c>
      <c r="AZ15" s="258">
        <f>AZ12+AY15</f>
        <v/>
      </c>
      <c r="BA15" s="258" t="n">
        <v>50084300.4672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375" t="inlineStr">
        <is>
          <t>PRODUCTIVITÉ IA (GenieFactory)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365" t="inlineStr">
        <is>
          <t>Métrique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376" t="inlineStr">
        <is>
          <t>Total ETP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376" t="inlineStr">
        <is>
          <t>Productivité IA (ratio)</t>
        </is>
      </c>
      <c r="B48" s="256" t="inlineStr">
        <is>
          <t>3.0×</t>
        </is>
      </c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376" t="inlineStr">
        <is>
          <t>Équivalent ETP trad.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377" t="inlineStr">
        <is>
          <t>Note: GenieFactory permet à 1 ETP de faire le travail de 3 ETP traditionnels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365" t="inlineStr">
        <is>
          <t>Tier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Nouveaux clients Starter (mois)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inlineStr">
        <is>
          <t>Nouveaux clients Business (mois)</t>
        </is>
      </c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inlineStr">
        <is>
          <t>Nouveaux clients Enterprise (mois)</t>
        </is>
      </c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365" t="inlineStr">
        <is>
          <t>Total nouveaux clients Hub (mois)</t>
        </is>
      </c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A57" s="0" t="inlineStr">
        <is>
          <t>Clients actifs Starter (cumulé)</t>
        </is>
      </c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A58" s="0" t="inlineStr">
        <is>
          <t>Clients actifs Business (cumulé)</t>
        </is>
      </c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A59" s="0" t="inlineStr">
        <is>
          <t>Clients actifs Enterprise (cumulé)</t>
        </is>
      </c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A60" s="365" t="inlineStr">
        <is>
          <t>Total clients actifs Hub</t>
        </is>
      </c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A62" s="0" t="inlineStr">
        <is>
          <t>Churn mensuel Hub (%)</t>
        </is>
      </c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A63" s="0" t="inlineStr">
        <is>
          <t>Clients perdus (mois)</t>
        </is>
      </c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Hosting (CLOUD INFRASTRUCTURE)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4267.200000000001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16022.2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38805.4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Licences logicielles (SAAS TOOLS)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65" t="inlineStr">
        <is>
          <t>Total Infrastructure (mensuel)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  <col width="15" customWidth="1" style="362" min="8" max="8"/>
    <col width="15" customWidth="1" style="362" min="9" max="9"/>
    <col width="15" customWidth="1" style="362" min="10" max="10"/>
    <col width="15" customWidth="1" style="362" min="11" max="11"/>
    <col width="15" customWidth="1" style="362" min="12" max="12"/>
    <col width="15" customWidth="1" style="362" min="13" max="13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78" t="inlineStr">
        <is>
          <t>ÉVOLUTION DILUTION FONDATEURS</t>
        </is>
      </c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365" t="inlineStr">
        <is>
          <t>Fondateur</t>
        </is>
      </c>
      <c r="I2" s="379" t="inlineStr">
        <is>
          <t>Bootstrap</t>
        </is>
      </c>
      <c r="J2" s="380" t="inlineStr">
        <is>
          <t>Post Pre-Seed</t>
        </is>
      </c>
      <c r="K2" s="365" t="inlineStr">
        <is>
          <t>Post Seed</t>
        </is>
      </c>
      <c r="L2" s="365" t="inlineStr">
        <is>
          <t>Post Series A</t>
        </is>
      </c>
      <c r="M2" s="365" t="inlineStr">
        <is>
          <t>Dilution Totale</t>
        </is>
      </c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FRT</t>
        </is>
      </c>
      <c r="I3" s="273" t="inlineStr">
        <is>
          <t>70.00%%</t>
        </is>
      </c>
      <c r="J3" s="273" t="inlineStr">
        <is>
          <t>68.60%%</t>
        </is>
      </c>
      <c r="K3" s="242" t="inlineStr">
        <is>
          <t>34.50%%</t>
        </is>
      </c>
      <c r="L3" s="242" t="inlineStr">
        <is>
          <t>27.70%%</t>
        </is>
      </c>
      <c r="M3" s="381" t="inlineStr">
        <is>
          <t>-60.4%</t>
        </is>
      </c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inlineStr">
        <is>
          <t>PCO</t>
        </is>
      </c>
      <c r="I4" s="273" t="inlineStr">
        <is>
          <t>15.00%%</t>
        </is>
      </c>
      <c r="J4" s="273" t="inlineStr">
        <is>
          <t>14.70%%</t>
        </is>
      </c>
      <c r="K4" s="242" t="inlineStr">
        <is>
          <t>17.10%%</t>
        </is>
      </c>
      <c r="L4" s="242" t="inlineStr">
        <is>
          <t>19.80%%</t>
        </is>
      </c>
      <c r="M4" s="382" t="inlineStr">
        <is>
          <t>+31.9%</t>
        </is>
      </c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MAM</t>
        </is>
      </c>
      <c r="I5" s="273" t="inlineStr">
        <is>
          <t>15.00%%</t>
        </is>
      </c>
      <c r="J5" s="273" t="inlineStr">
        <is>
          <t>14.70%%</t>
        </is>
      </c>
      <c r="K5" s="242" t="inlineStr">
        <is>
          <t>15.60%%</t>
        </is>
      </c>
      <c r="L5" s="242" t="inlineStr">
        <is>
          <t>17.20%%</t>
        </is>
      </c>
      <c r="M5" s="382" t="inlineStr">
        <is>
          <t>+14.7%</t>
        </is>
      </c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365" t="inlineStr">
        <is>
          <t>VALORISATION PAR ROUND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s="0" t="n">
        <v>32600000</v>
      </c>
      <c r="E8" s="0" t="n">
        <v>4000000</v>
      </c>
      <c r="F8" s="346" t="n"/>
      <c r="H8" s="365" t="inlineStr">
        <is>
          <t>Round</t>
        </is>
      </c>
      <c r="I8" s="379" t="inlineStr">
        <is>
          <t>Montant Levé</t>
        </is>
      </c>
      <c r="J8" s="380" t="inlineStr">
        <is>
          <t>Valorisation Post</t>
        </is>
      </c>
      <c r="K8" s="365" t="inlineStr">
        <is>
          <t>Multiple ARR</t>
        </is>
      </c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inlineStr">
        <is>
          <t>Pre-Seed</t>
        </is>
      </c>
      <c r="I9" s="344" t="n">
        <v>400000</v>
      </c>
      <c r="J9" s="344" t="n">
        <v>2900000</v>
      </c>
      <c r="K9" s="242" t="inlineStr">
        <is>
          <t>5.8× (500K ARR)</t>
        </is>
      </c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H10" s="0" t="inlineStr">
        <is>
          <t>Seed</t>
        </is>
      </c>
      <c r="I10" s="346" t="n">
        <v>1500000</v>
      </c>
      <c r="J10" s="0" t="n">
        <v>8000000</v>
      </c>
      <c r="K10" s="242" t="inlineStr">
        <is>
          <t>10× (800K ARR)</t>
        </is>
      </c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Series A</t>
        </is>
      </c>
      <c r="I11" s="345" t="n">
        <v>2500000</v>
      </c>
      <c r="J11" s="0" t="n">
        <v>32600000</v>
      </c>
      <c r="K11" s="242" t="inlineStr">
        <is>
          <t>8.2× (4M ARR)</t>
        </is>
      </c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s="0" t="inlineStr">
        <is>
          <t>CAP TABLE - DILUTION PROGRESSIVE</t>
        </is>
      </c>
    </row>
    <row r="16">
      <c r="A16" s="0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s="0" t="inlineStr">
        <is>
          <t>Post Pre-Seed (avant Seed)</t>
        </is>
      </c>
      <c r="B18" s="0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s="0" t="inlineStr">
        <is>
          <t>Post Seed</t>
        </is>
      </c>
      <c r="B19" s="0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s="0" t="inlineStr">
        <is>
          <t>Post Series A</t>
        </is>
      </c>
      <c r="B20" s="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s="0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s="0" t="inlineStr">
        <is>
          <t>Mois</t>
        </is>
      </c>
      <c r="B26" s="0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s="0" t="inlineStr">
        <is>
          <t>M1</t>
        </is>
      </c>
      <c r="B27" s="0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s="0" t="inlineStr">
        <is>
          <t>M6</t>
        </is>
      </c>
      <c r="B28" s="242" t="n">
        <v>500000</v>
      </c>
      <c r="C28" s="0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s="0" t="inlineStr">
        <is>
          <t>M12</t>
        </is>
      </c>
      <c r="B29" s="0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s="0" t="inlineStr">
        <is>
          <t>M18</t>
        </is>
      </c>
      <c r="B30" s="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s="0" t="inlineStr">
        <is>
          <t>M36</t>
        </is>
      </c>
      <c r="B31" s="0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s="0" t="inlineStr">
        <is>
          <t>M48</t>
        </is>
      </c>
      <c r="B32" s="0" t="n">
        <v>6000000</v>
      </c>
      <c r="C32" s="0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A25" s="383" t="inlineStr">
        <is>
          <t>Ventes (Support Marketing)</t>
        </is>
      </c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A26" s="0" t="inlineStr">
        <is>
          <t>Support ventes (docs, présent., démos)</t>
        </is>
      </c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A28" s="365" t="inlineStr">
        <is>
          <t>Campagnes Collaboration</t>
        </is>
      </c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A29" s="0" t="inlineStr">
        <is>
          <t>Partenariats tech, co-marketing</t>
        </is>
      </c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A31" s="365" t="inlineStr">
        <is>
          <t>Campagnes Ciblées</t>
        </is>
      </c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A32" s="0" t="inlineStr">
        <is>
          <t>ABM (Account-Based Marketing)</t>
        </is>
      </c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29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84" t="inlineStr">
        <is>
          <t>CASH FLOW STATEMENT</t>
        </is>
      </c>
    </row>
    <row r="2">
      <c r="A2" s="0" t="inlineStr">
        <is>
          <t>Catégorie</t>
        </is>
      </c>
      <c r="B2" s="0" t="inlineStr">
        <is>
          <t>Description</t>
        </is>
      </c>
      <c r="C2" s="0" t="inlineStr">
        <is>
          <t>M1</t>
        </is>
      </c>
      <c r="D2" s="0" t="inlineStr">
        <is>
          <t>M2</t>
        </is>
      </c>
      <c r="E2" s="0" t="inlineStr">
        <is>
          <t>M3</t>
        </is>
      </c>
      <c r="F2" s="0" t="inlineStr">
        <is>
          <t>M4</t>
        </is>
      </c>
      <c r="G2" s="0" t="inlineStr">
        <is>
          <t>M5</t>
        </is>
      </c>
      <c r="H2" s="0" t="inlineStr">
        <is>
          <t>M6</t>
        </is>
      </c>
      <c r="I2" s="0" t="inlineStr">
        <is>
          <t>M7</t>
        </is>
      </c>
      <c r="J2" s="0" t="inlineStr">
        <is>
          <t>M8</t>
        </is>
      </c>
      <c r="K2" s="0" t="inlineStr">
        <is>
          <t>M9</t>
        </is>
      </c>
      <c r="L2" s="0" t="inlineStr">
        <is>
          <t>M10</t>
        </is>
      </c>
      <c r="M2" s="0" t="inlineStr">
        <is>
          <t>M11</t>
        </is>
      </c>
      <c r="N2" s="0" t="inlineStr">
        <is>
          <t>M12</t>
        </is>
      </c>
      <c r="O2" s="0" t="inlineStr">
        <is>
          <t>M13</t>
        </is>
      </c>
      <c r="P2" s="0" t="inlineStr">
        <is>
          <t>M14</t>
        </is>
      </c>
      <c r="Q2" s="0" t="inlineStr">
        <is>
          <t>M15</t>
        </is>
      </c>
      <c r="R2" s="0" t="inlineStr">
        <is>
          <t>M16</t>
        </is>
      </c>
      <c r="S2" s="0" t="inlineStr">
        <is>
          <t>M17</t>
        </is>
      </c>
      <c r="T2" s="0" t="inlineStr">
        <is>
          <t>M18</t>
        </is>
      </c>
      <c r="U2" s="0" t="inlineStr">
        <is>
          <t>M19</t>
        </is>
      </c>
      <c r="V2" s="0" t="inlineStr">
        <is>
          <t>M20</t>
        </is>
      </c>
      <c r="W2" s="0" t="inlineStr">
        <is>
          <t>M21</t>
        </is>
      </c>
      <c r="X2" s="0" t="inlineStr">
        <is>
          <t>M22</t>
        </is>
      </c>
      <c r="Y2" s="0" t="inlineStr">
        <is>
          <t>M23</t>
        </is>
      </c>
      <c r="Z2" s="0" t="inlineStr">
        <is>
          <t>M24</t>
        </is>
      </c>
      <c r="AA2" s="0" t="inlineStr">
        <is>
          <t>M25</t>
        </is>
      </c>
      <c r="AB2" s="0" t="inlineStr">
        <is>
          <t>M26</t>
        </is>
      </c>
      <c r="AC2" s="0" t="inlineStr">
        <is>
          <t>M27</t>
        </is>
      </c>
      <c r="AD2" s="0" t="inlineStr">
        <is>
          <t>M28</t>
        </is>
      </c>
      <c r="AE2" s="0" t="inlineStr">
        <is>
          <t>M29</t>
        </is>
      </c>
      <c r="AF2" s="0" t="inlineStr">
        <is>
          <t>M30</t>
        </is>
      </c>
      <c r="AG2" s="0" t="inlineStr">
        <is>
          <t>M31</t>
        </is>
      </c>
      <c r="AH2" s="0" t="inlineStr">
        <is>
          <t>M32</t>
        </is>
      </c>
      <c r="AI2" s="0" t="inlineStr">
        <is>
          <t>M33</t>
        </is>
      </c>
      <c r="AJ2" s="0" t="inlineStr">
        <is>
          <t>M34</t>
        </is>
      </c>
      <c r="AK2" s="0" t="inlineStr">
        <is>
          <t>M35</t>
        </is>
      </c>
      <c r="AL2" s="0" t="inlineStr">
        <is>
          <t>M36</t>
        </is>
      </c>
      <c r="AM2" s="0" t="inlineStr">
        <is>
          <t>M37</t>
        </is>
      </c>
      <c r="AN2" s="0" t="inlineStr">
        <is>
          <t>M38</t>
        </is>
      </c>
      <c r="AO2" s="0" t="inlineStr">
        <is>
          <t>M39</t>
        </is>
      </c>
      <c r="AP2" s="0" t="inlineStr">
        <is>
          <t>M40</t>
        </is>
      </c>
      <c r="AQ2" s="0" t="inlineStr">
        <is>
          <t>M41</t>
        </is>
      </c>
      <c r="AR2" s="0" t="inlineStr">
        <is>
          <t>M42</t>
        </is>
      </c>
      <c r="AS2" s="0" t="inlineStr">
        <is>
          <t>M43</t>
        </is>
      </c>
      <c r="AT2" s="0" t="inlineStr">
        <is>
          <t>M44</t>
        </is>
      </c>
      <c r="AU2" s="0" t="inlineStr">
        <is>
          <t>M45</t>
        </is>
      </c>
      <c r="AV2" s="0" t="inlineStr">
        <is>
          <t>M46</t>
        </is>
      </c>
      <c r="AW2" s="0" t="inlineStr">
        <is>
          <t>M47</t>
        </is>
      </c>
      <c r="AX2" s="0" t="inlineStr">
        <is>
          <t>M48</t>
        </is>
      </c>
      <c r="AY2" s="0" t="inlineStr">
        <is>
          <t>M49</t>
        </is>
      </c>
      <c r="AZ2" s="0" t="inlineStr">
        <is>
          <t>M50</t>
        </is>
      </c>
    </row>
    <row r="3">
      <c r="A3" s="365" t="inlineStr">
        <is>
          <t>OPERATING ACTIVITIES</t>
        </is>
      </c>
    </row>
    <row r="4">
      <c r="A4" s="0" t="inlineStr">
        <is>
          <t xml:space="preserve">  CA Encaissé</t>
        </is>
      </c>
      <c r="B4" s="0" t="inlineStr">
        <is>
          <t>Revenue collected</t>
        </is>
      </c>
      <c r="H4" t="n">
        <v>46000</v>
      </c>
      <c r="I4" t="n">
        <v>69000</v>
      </c>
      <c r="J4" t="n">
        <v>145900</v>
      </c>
      <c r="K4" t="n">
        <v>195850</v>
      </c>
      <c r="L4" t="n">
        <v>245800</v>
      </c>
      <c r="M4" t="n">
        <v>295750</v>
      </c>
      <c r="N4" t="n">
        <v>409000</v>
      </c>
      <c r="O4" t="n">
        <v>482850</v>
      </c>
      <c r="P4" t="n">
        <v>560378.4</v>
      </c>
      <c r="Q4" t="n">
        <v>612967.6799999999</v>
      </c>
      <c r="R4" t="n">
        <v>729063.8912</v>
      </c>
      <c r="S4" t="n">
        <v>763714.4543999999</v>
      </c>
      <c r="T4" t="n">
        <v>862332.0704</v>
      </c>
      <c r="U4" t="n">
        <v>961760.448</v>
      </c>
      <c r="V4" t="n">
        <v>892379.3568</v>
      </c>
      <c r="W4" t="n">
        <v>1019302.5792</v>
      </c>
      <c r="X4" t="n">
        <v>1096149.5648</v>
      </c>
      <c r="Y4" t="n">
        <v>1226765.056</v>
      </c>
      <c r="Z4" t="n">
        <v>1315222.96</v>
      </c>
      <c r="AA4" t="n">
        <v>1480363.5616</v>
      </c>
      <c r="AB4" t="n">
        <v>1549445.3856</v>
      </c>
      <c r="AC4" t="n">
        <v>1722178.5568</v>
      </c>
      <c r="AD4" t="n">
        <v>1798871.6</v>
      </c>
      <c r="AE4" t="n">
        <v>1979214.8</v>
      </c>
      <c r="AF4" t="n">
        <v>2088335.4816</v>
      </c>
      <c r="AG4" t="n">
        <v>2257042.208</v>
      </c>
      <c r="AH4" t="n">
        <v>2425471.8464</v>
      </c>
      <c r="AI4" t="n">
        <v>2551693.008</v>
      </c>
      <c r="AJ4" t="n">
        <v>2756469.2352</v>
      </c>
      <c r="AK4" t="n">
        <v>2866964.3488</v>
      </c>
      <c r="AL4" t="n">
        <v>3081034.0608</v>
      </c>
      <c r="AM4" t="n">
        <v>3198913.5552</v>
      </c>
      <c r="AN4" t="n">
        <v>3422305.0592</v>
      </c>
      <c r="AO4" t="n">
        <v>3551328.4512</v>
      </c>
      <c r="AP4" t="n">
        <v>3783943.9008</v>
      </c>
      <c r="AQ4" t="n">
        <v>3966262.2944</v>
      </c>
      <c r="AR4" t="n">
        <v>4208010.9568</v>
      </c>
      <c r="AS4" t="n">
        <v>4455269.2864</v>
      </c>
      <c r="AT4" t="n">
        <v>4706043.9904</v>
      </c>
      <c r="AU4" t="n">
        <v>4937419.2576</v>
      </c>
      <c r="AV4" t="n">
        <v>5174188.7904</v>
      </c>
      <c r="AW4" t="n">
        <v>5412421.6672</v>
      </c>
      <c r="AX4" t="n">
        <v>5654148.697600001</v>
      </c>
      <c r="AY4" t="n">
        <v>5926315.3856</v>
      </c>
      <c r="AZ4" t="n">
        <v>6203884.4736</v>
      </c>
      <c r="BA4" t="n">
        <v>6486849.9424</v>
      </c>
      <c r="BB4" t="n">
        <v>6773184.0768</v>
      </c>
      <c r="BC4" t="n">
        <v>7062891.7056</v>
      </c>
      <c r="BD4" t="n">
        <v>7357970.1888</v>
      </c>
      <c r="BE4" t="n">
        <v>7658319.5648</v>
      </c>
    </row>
    <row r="5">
      <c r="A5" s="0" t="inlineStr">
        <is>
          <t xml:space="preserve">  Charges Personnel</t>
        </is>
      </c>
      <c r="B5" s="0" t="inlineStr">
        <is>
          <t>Salaries and social charges</t>
        </is>
      </c>
      <c r="H5" t="n">
        <v>-12491.66666666667</v>
      </c>
      <c r="I5" t="n">
        <v>-12491.66666666667</v>
      </c>
      <c r="J5" t="n">
        <v>-12491.66666666667</v>
      </c>
      <c r="K5" t="n">
        <v>-12491.66666666667</v>
      </c>
      <c r="L5" t="n">
        <v>-12491.66666666667</v>
      </c>
      <c r="M5" t="n">
        <v>-12491.66666666667</v>
      </c>
      <c r="N5" t="n">
        <v>-12491.66666666667</v>
      </c>
      <c r="O5" t="n">
        <v>-12491.66666666667</v>
      </c>
      <c r="P5" t="n">
        <v>-12491.66666666667</v>
      </c>
      <c r="Q5" t="n">
        <v>-12491.66666666667</v>
      </c>
      <c r="R5" t="n">
        <v>-12491.66666666667</v>
      </c>
      <c r="S5" t="n">
        <v>-12491.66666666667</v>
      </c>
      <c r="T5" t="n">
        <v>-12491.66666666667</v>
      </c>
      <c r="U5" t="n">
        <v>-12491.66666666667</v>
      </c>
      <c r="V5" t="n">
        <v>-57320.83333333333</v>
      </c>
      <c r="W5" t="n">
        <v>-57320.83333333333</v>
      </c>
      <c r="X5" t="n">
        <v>-57320.83333333333</v>
      </c>
      <c r="Y5" t="n">
        <v>-57320.83333333333</v>
      </c>
      <c r="Z5" t="n">
        <v>-57320.83333333333</v>
      </c>
      <c r="AA5" t="n">
        <v>-57320.83333333333</v>
      </c>
      <c r="AB5" t="n">
        <v>-57320.83333333333</v>
      </c>
      <c r="AC5" t="n">
        <v>-57320.83333333333</v>
      </c>
      <c r="AD5" t="n">
        <v>-57320.83333333333</v>
      </c>
      <c r="AE5" t="n">
        <v>-57320.83333333333</v>
      </c>
      <c r="AF5" t="n">
        <v>-57320.83333333333</v>
      </c>
      <c r="AG5" t="n">
        <v>-57320.83333333333</v>
      </c>
      <c r="AH5" t="n">
        <v>-88375</v>
      </c>
      <c r="AI5" t="n">
        <v>-88375</v>
      </c>
      <c r="AJ5" t="n">
        <v>-88375</v>
      </c>
      <c r="AK5" t="n">
        <v>-88375</v>
      </c>
      <c r="AL5" t="n">
        <v>-88375</v>
      </c>
      <c r="AM5" t="n">
        <v>-88375</v>
      </c>
      <c r="AN5" t="n">
        <v>-88375</v>
      </c>
      <c r="AO5" t="n">
        <v>-88375</v>
      </c>
      <c r="AP5" t="n">
        <v>-88375</v>
      </c>
      <c r="AQ5" t="n">
        <v>-88375</v>
      </c>
      <c r="AR5" t="n">
        <v>-88375</v>
      </c>
      <c r="AS5" t="n">
        <v>-88375</v>
      </c>
      <c r="AT5" t="n">
        <v>-107466.6666666667</v>
      </c>
      <c r="AU5" t="n">
        <v>-107466.6666666667</v>
      </c>
      <c r="AV5" t="n">
        <v>-107466.6666666667</v>
      </c>
      <c r="AW5" t="n">
        <v>-107466.6666666667</v>
      </c>
      <c r="AX5" t="n">
        <v>-107466.6666666667</v>
      </c>
      <c r="AY5" t="n">
        <v>-107466.6666666667</v>
      </c>
      <c r="AZ5" t="n">
        <v>-107466.6666666667</v>
      </c>
      <c r="BA5" t="n">
        <v>-107466.6666666667</v>
      </c>
      <c r="BB5" t="n">
        <v>-107466.6666666667</v>
      </c>
      <c r="BC5" t="n">
        <v>-107466.6666666667</v>
      </c>
      <c r="BD5" t="n">
        <v>-107466.6666666667</v>
      </c>
      <c r="BE5" t="n">
        <v>-107466.6666666667</v>
      </c>
    </row>
    <row r="6">
      <c r="A6" s="0" t="inlineStr">
        <is>
          <t xml:space="preserve">  Charges Infrastructure</t>
        </is>
      </c>
      <c r="B6" s="0" t="inlineStr">
        <is>
          <t>Cloud + SaaS tools</t>
        </is>
      </c>
      <c r="H6" t="n">
        <v>-1425</v>
      </c>
      <c r="I6" t="n">
        <v>-1425</v>
      </c>
      <c r="J6" t="n">
        <v>-1425</v>
      </c>
      <c r="K6" t="n">
        <v>-1425</v>
      </c>
      <c r="L6" t="n">
        <v>-1425</v>
      </c>
      <c r="M6" t="n">
        <v>-1425</v>
      </c>
      <c r="N6" t="n">
        <v>-1425</v>
      </c>
      <c r="O6" t="n">
        <v>-1825</v>
      </c>
      <c r="P6" t="n">
        <v>-2322</v>
      </c>
      <c r="Q6" t="n">
        <v>-2914.5</v>
      </c>
      <c r="R6" t="n">
        <v>-3652.5</v>
      </c>
      <c r="S6" t="n">
        <v>-3912.6</v>
      </c>
      <c r="T6" t="n">
        <v>-4692.200000000001</v>
      </c>
      <c r="U6" t="n">
        <v>-4516.200000000001</v>
      </c>
      <c r="V6" t="n">
        <v>-5356.299999999999</v>
      </c>
      <c r="W6" t="n">
        <v>-6106</v>
      </c>
      <c r="X6" t="n">
        <v>-6909.700000000001</v>
      </c>
      <c r="Y6" t="n">
        <v>-7767.099999999999</v>
      </c>
      <c r="Z6" t="n">
        <v>-8677.599999999999</v>
      </c>
      <c r="AA6" t="n">
        <v>-9640.299999999999</v>
      </c>
      <c r="AB6" t="n">
        <v>-10655.8</v>
      </c>
      <c r="AC6" t="n">
        <v>-11722.9</v>
      </c>
      <c r="AD6" t="n">
        <v>-12841.6</v>
      </c>
      <c r="AE6" t="n">
        <v>-14011.3</v>
      </c>
      <c r="AF6" t="n">
        <v>-15261.7</v>
      </c>
      <c r="AG6" t="n">
        <v>-16592.2</v>
      </c>
      <c r="AH6" t="n">
        <v>-18146.6</v>
      </c>
      <c r="AI6" t="n">
        <v>-19575.5</v>
      </c>
      <c r="AJ6" t="n">
        <v>-21082.7</v>
      </c>
      <c r="AK6" t="n">
        <v>-22667.9</v>
      </c>
      <c r="AL6" t="n">
        <v>-24300.2</v>
      </c>
      <c r="AM6" t="n">
        <v>-25979.9</v>
      </c>
      <c r="AN6" t="n">
        <v>-27735.8</v>
      </c>
      <c r="AO6" t="n">
        <v>-29567.9</v>
      </c>
      <c r="AP6" t="n">
        <v>-31445.3</v>
      </c>
      <c r="AQ6" t="n">
        <v>-33367.7</v>
      </c>
      <c r="AR6" t="n">
        <v>-35364.8</v>
      </c>
      <c r="AS6" t="n">
        <v>-37435.7</v>
      </c>
      <c r="AT6" t="n">
        <v>-39691.4</v>
      </c>
      <c r="AU6" t="n">
        <v>-41849.3</v>
      </c>
      <c r="AV6" t="n">
        <v>-44079.2</v>
      </c>
      <c r="AW6" t="n">
        <v>-46381.7</v>
      </c>
      <c r="AX6" t="n">
        <v>-48725.3</v>
      </c>
      <c r="AY6" t="n">
        <v>-51110.6</v>
      </c>
      <c r="AZ6" t="n">
        <v>-53566.7</v>
      </c>
      <c r="BA6" t="n">
        <v>-56093.60000000001</v>
      </c>
      <c r="BB6" t="n">
        <v>-58659.8</v>
      </c>
      <c r="BC6" t="n">
        <v>-61265.6</v>
      </c>
      <c r="BD6" t="n">
        <v>-63940.7</v>
      </c>
      <c r="BE6" t="n">
        <v>-66684.20000000001</v>
      </c>
    </row>
    <row r="7">
      <c r="A7" s="0" t="inlineStr">
        <is>
          <t xml:space="preserve">  Charges Marketing</t>
        </is>
      </c>
      <c r="B7" s="0" t="inlineStr">
        <is>
          <t>Marketing spend</t>
        </is>
      </c>
      <c r="H7" t="n">
        <v>-3500</v>
      </c>
      <c r="I7" t="n">
        <v>-3500</v>
      </c>
      <c r="J7" t="n">
        <v>-6500</v>
      </c>
      <c r="K7" t="n">
        <v>-3500</v>
      </c>
      <c r="L7" t="n">
        <v>-3500</v>
      </c>
      <c r="M7" t="n">
        <v>-6500</v>
      </c>
      <c r="N7" t="n">
        <v>-3500</v>
      </c>
      <c r="O7" t="n">
        <v>-3500</v>
      </c>
      <c r="P7" t="n">
        <v>-6500</v>
      </c>
      <c r="Q7" t="n">
        <v>-3500</v>
      </c>
      <c r="R7" t="n">
        <v>-3500</v>
      </c>
      <c r="S7" t="n">
        <v>-6500</v>
      </c>
      <c r="T7" t="n">
        <v>-3500</v>
      </c>
      <c r="U7" t="n">
        <v>-3500</v>
      </c>
      <c r="V7" t="n">
        <v>-30000</v>
      </c>
      <c r="W7" t="n">
        <v>-15000</v>
      </c>
      <c r="X7" t="n">
        <v>-15000</v>
      </c>
      <c r="Y7" t="n">
        <v>-30000</v>
      </c>
      <c r="Z7" t="n">
        <v>-15000</v>
      </c>
      <c r="AA7" t="n">
        <v>-15000</v>
      </c>
      <c r="AB7" t="n">
        <v>-30000</v>
      </c>
      <c r="AC7" t="n">
        <v>-15000</v>
      </c>
      <c r="AD7" t="n">
        <v>-15000</v>
      </c>
      <c r="AE7" t="n">
        <v>-30000</v>
      </c>
      <c r="AF7" t="n">
        <v>-15000</v>
      </c>
      <c r="AG7" t="n">
        <v>-15000</v>
      </c>
      <c r="AH7" t="n">
        <v>-46000</v>
      </c>
      <c r="AI7" t="n">
        <v>-22000</v>
      </c>
      <c r="AJ7" t="n">
        <v>-22000</v>
      </c>
      <c r="AK7" t="n">
        <v>-46000</v>
      </c>
      <c r="AL7" t="n">
        <v>-22000</v>
      </c>
      <c r="AM7" t="n">
        <v>-22000</v>
      </c>
      <c r="AN7" t="n">
        <v>-46000</v>
      </c>
      <c r="AO7" t="n">
        <v>-22000</v>
      </c>
      <c r="AP7" t="n">
        <v>-22000</v>
      </c>
      <c r="AQ7" t="n">
        <v>-46000</v>
      </c>
      <c r="AR7" t="n">
        <v>-22000</v>
      </c>
      <c r="AS7" t="n">
        <v>-22000</v>
      </c>
      <c r="AT7" t="n">
        <v>-59000</v>
      </c>
      <c r="AU7" t="n">
        <v>-29000</v>
      </c>
      <c r="AV7" t="n">
        <v>-29000</v>
      </c>
      <c r="AW7" t="n">
        <v>-59000</v>
      </c>
      <c r="AX7" t="n">
        <v>-29000</v>
      </c>
      <c r="AY7" t="n">
        <v>-29000</v>
      </c>
      <c r="AZ7" t="n">
        <v>-59000</v>
      </c>
      <c r="BA7" t="n">
        <v>-29000</v>
      </c>
      <c r="BB7" t="n">
        <v>-29000</v>
      </c>
      <c r="BC7" t="n">
        <v>-59000</v>
      </c>
      <c r="BD7" t="n">
        <v>-29000</v>
      </c>
      <c r="BE7" t="n">
        <v>-29000</v>
      </c>
    </row>
    <row r="8">
      <c r="A8" s="0" t="inlineStr">
        <is>
          <t xml:space="preserve">  Autres Charges</t>
        </is>
      </c>
      <c r="B8" s="0" t="inlineStr">
        <is>
          <t>Other operating expenses</t>
        </is>
      </c>
    </row>
    <row r="9">
      <c r="A9" s="365">
        <f> Cash Flow Opérationnel</f>
        <v/>
      </c>
      <c r="H9" t="n">
        <v>28583.33333333333</v>
      </c>
      <c r="I9" t="n">
        <v>51583.33333333333</v>
      </c>
      <c r="J9" t="n">
        <v>125483.3333333333</v>
      </c>
      <c r="K9" t="n">
        <v>178433.3333333333</v>
      </c>
      <c r="L9" t="n">
        <v>228383.3333333333</v>
      </c>
      <c r="M9" t="n">
        <v>275333.3333333333</v>
      </c>
      <c r="N9" t="n">
        <v>391583.3333333333</v>
      </c>
      <c r="O9" t="n">
        <v>465033.3333333333</v>
      </c>
      <c r="P9" t="n">
        <v>539064.7333333334</v>
      </c>
      <c r="Q9" t="n">
        <v>594061.5133333333</v>
      </c>
      <c r="R9" t="n">
        <v>709419.7245333333</v>
      </c>
      <c r="S9" t="n">
        <v>740810.1877333333</v>
      </c>
      <c r="T9" t="n">
        <v>841648.2037333334</v>
      </c>
      <c r="U9" t="n">
        <v>941252.5813333334</v>
      </c>
      <c r="V9" t="n">
        <v>799702.2234666665</v>
      </c>
      <c r="W9" t="n">
        <v>940875.7458666667</v>
      </c>
      <c r="X9" t="n">
        <v>1016919.031466667</v>
      </c>
      <c r="Y9" t="n">
        <v>1131677.122666667</v>
      </c>
      <c r="Z9" t="n">
        <v>1234224.526666667</v>
      </c>
      <c r="AA9" t="n">
        <v>1398402.428266667</v>
      </c>
      <c r="AB9" t="n">
        <v>1451468.752266667</v>
      </c>
      <c r="AC9" t="n">
        <v>1638134.823466667</v>
      </c>
      <c r="AD9" t="n">
        <v>1713709.166666667</v>
      </c>
      <c r="AE9" t="n">
        <v>1877882.666666667</v>
      </c>
      <c r="AF9" t="n">
        <v>2000752.948266667</v>
      </c>
      <c r="AG9" t="n">
        <v>2168129.174666666</v>
      </c>
      <c r="AH9" t="n">
        <v>2272950.2464</v>
      </c>
      <c r="AI9" t="n">
        <v>2421742.508</v>
      </c>
      <c r="AJ9" t="n">
        <v>2625011.5352</v>
      </c>
      <c r="AK9" t="n">
        <v>2709921.4488</v>
      </c>
      <c r="AL9" t="n">
        <v>2946358.8608</v>
      </c>
      <c r="AM9" t="n">
        <v>3062558.6552</v>
      </c>
      <c r="AN9" t="n">
        <v>3260194.2592</v>
      </c>
      <c r="AO9" t="n">
        <v>3411385.5512</v>
      </c>
      <c r="AP9" t="n">
        <v>3642123.6008</v>
      </c>
      <c r="AQ9" t="n">
        <v>3798519.5944</v>
      </c>
      <c r="AR9" t="n">
        <v>4062271.1568</v>
      </c>
      <c r="AS9" t="n">
        <v>4307458.586399999</v>
      </c>
      <c r="AT9" t="n">
        <v>4499885.923733332</v>
      </c>
      <c r="AU9" t="n">
        <v>4759103.290933333</v>
      </c>
      <c r="AV9" t="n">
        <v>4993642.923733333</v>
      </c>
      <c r="AW9" t="n">
        <v>5199573.300533333</v>
      </c>
      <c r="AX9" t="n">
        <v>5468956.730933334</v>
      </c>
      <c r="AY9" t="n">
        <v>5738738.118933333</v>
      </c>
      <c r="AZ9" t="n">
        <v>5983851.106933333</v>
      </c>
      <c r="BA9" t="n">
        <v>6294289.675733333</v>
      </c>
      <c r="BB9" t="n">
        <v>6578057.610133333</v>
      </c>
      <c r="BC9" t="n">
        <v>6835159.438933333</v>
      </c>
      <c r="BD9" t="n">
        <v>7157562.822133332</v>
      </c>
      <c r="BE9" t="n">
        <v>7455168.698133333</v>
      </c>
    </row>
    <row r="10"/>
    <row r="11">
      <c r="A11" s="365" t="inlineStr">
        <is>
          <t>INVESTING ACTIVITIES</t>
        </is>
      </c>
    </row>
    <row r="12">
      <c r="A12" s="0" t="inlineStr">
        <is>
          <t xml:space="preserve">  CAPEX (équipements)</t>
        </is>
      </c>
      <c r="B12" s="0" t="inlineStr">
        <is>
          <t>Equipment and infrastructure</t>
        </is>
      </c>
    </row>
    <row r="13">
      <c r="A13" s="365">
        <f> Cash Flow Investissement</f>
        <v/>
      </c>
    </row>
    <row r="14"/>
    <row r="15">
      <c r="A15" s="365" t="inlineStr">
        <is>
          <t>FINANCING ACTIVITIES</t>
        </is>
      </c>
    </row>
    <row r="16">
      <c r="A16" s="0" t="inlineStr">
        <is>
          <t xml:space="preserve">  Pre-Seed</t>
        </is>
      </c>
      <c r="B16" s="0" t="inlineStr">
        <is>
          <t>M1: 150K€</t>
        </is>
      </c>
      <c r="H16" t="n">
        <v>150000</v>
      </c>
    </row>
    <row r="17">
      <c r="A17" s="0" t="inlineStr">
        <is>
          <t xml:space="preserve">  Seed</t>
        </is>
      </c>
      <c r="B17" s="0" t="inlineStr">
        <is>
          <t>M11: 500K€</t>
        </is>
      </c>
      <c r="R17" t="n">
        <v>500000</v>
      </c>
    </row>
    <row r="18">
      <c r="A18" s="0" t="inlineStr">
        <is>
          <t xml:space="preserve">  Series A</t>
        </is>
      </c>
      <c r="B18" s="0" t="inlineStr">
        <is>
          <t>M36: 2.5M€</t>
        </is>
      </c>
      <c r="AQ18" t="n">
        <v>2500000</v>
      </c>
    </row>
    <row r="19">
      <c r="A19" s="365">
        <f> Cash Flow Financement</f>
        <v/>
      </c>
      <c r="H19" t="n">
        <v>150000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500000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2500000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</row>
    <row r="20"/>
    <row r="21">
      <c r="A21" s="385" t="inlineStr">
        <is>
          <t>TOTAL CASH FLOW (mois)</t>
        </is>
      </c>
      <c r="H21" t="n">
        <v>178583.3333333333</v>
      </c>
      <c r="I21" t="n">
        <v>51583.33333333333</v>
      </c>
      <c r="J21" t="n">
        <v>125483.3333333333</v>
      </c>
      <c r="K21" t="n">
        <v>178433.3333333333</v>
      </c>
      <c r="L21" t="n">
        <v>228383.3333333333</v>
      </c>
      <c r="M21" t="n">
        <v>275333.3333333333</v>
      </c>
      <c r="N21" t="n">
        <v>391583.3333333333</v>
      </c>
      <c r="O21" t="n">
        <v>465033.3333333333</v>
      </c>
      <c r="P21" t="n">
        <v>539064.7333333334</v>
      </c>
      <c r="Q21" t="n">
        <v>594061.5133333333</v>
      </c>
      <c r="R21" t="n">
        <v>1209419.724533333</v>
      </c>
      <c r="S21" t="n">
        <v>740810.1877333333</v>
      </c>
      <c r="T21" t="n">
        <v>841648.2037333334</v>
      </c>
      <c r="U21" t="n">
        <v>941252.5813333334</v>
      </c>
      <c r="V21" t="n">
        <v>799702.2234666665</v>
      </c>
      <c r="W21" t="n">
        <v>940875.7458666667</v>
      </c>
      <c r="X21" t="n">
        <v>1016919.031466667</v>
      </c>
      <c r="Y21" t="n">
        <v>1131677.122666667</v>
      </c>
      <c r="Z21" t="n">
        <v>1234224.526666667</v>
      </c>
      <c r="AA21" t="n">
        <v>1398402.428266667</v>
      </c>
      <c r="AB21" t="n">
        <v>1451468.752266667</v>
      </c>
      <c r="AC21" t="n">
        <v>1638134.823466667</v>
      </c>
      <c r="AD21" t="n">
        <v>1713709.166666667</v>
      </c>
      <c r="AE21" t="n">
        <v>1877882.666666667</v>
      </c>
      <c r="AF21" t="n">
        <v>2000752.948266667</v>
      </c>
      <c r="AG21" t="n">
        <v>2168129.174666666</v>
      </c>
      <c r="AH21" t="n">
        <v>2272950.2464</v>
      </c>
      <c r="AI21" t="n">
        <v>2421742.508</v>
      </c>
      <c r="AJ21" t="n">
        <v>2625011.5352</v>
      </c>
      <c r="AK21" t="n">
        <v>2709921.4488</v>
      </c>
      <c r="AL21" t="n">
        <v>2946358.8608</v>
      </c>
      <c r="AM21" t="n">
        <v>3062558.6552</v>
      </c>
      <c r="AN21" t="n">
        <v>3260194.2592</v>
      </c>
      <c r="AO21" t="n">
        <v>3411385.5512</v>
      </c>
      <c r="AP21" t="n">
        <v>3642123.6008</v>
      </c>
      <c r="AQ21" t="n">
        <v>6298519.5944</v>
      </c>
      <c r="AR21" t="n">
        <v>4062271.1568</v>
      </c>
      <c r="AS21" t="n">
        <v>4307458.586399999</v>
      </c>
      <c r="AT21" t="n">
        <v>4499885.923733332</v>
      </c>
      <c r="AU21" t="n">
        <v>4759103.290933333</v>
      </c>
      <c r="AV21" t="n">
        <v>4993642.923733333</v>
      </c>
      <c r="AW21" t="n">
        <v>5199573.300533333</v>
      </c>
      <c r="AX21" t="n">
        <v>5468956.730933334</v>
      </c>
      <c r="AY21" t="n">
        <v>5738738.118933333</v>
      </c>
      <c r="AZ21" t="n">
        <v>5983851.106933333</v>
      </c>
      <c r="BA21" t="n">
        <v>6294289.675733333</v>
      </c>
      <c r="BB21" t="n">
        <v>6578057.610133333</v>
      </c>
      <c r="BC21" t="n">
        <v>6835159.438933333</v>
      </c>
      <c r="BD21" t="n">
        <v>7157562.822133332</v>
      </c>
      <c r="BE21" t="n">
        <v>7455168.698133333</v>
      </c>
    </row>
    <row r="22">
      <c r="A22" s="386" t="inlineStr">
        <is>
          <t>CASH BALANCE (cumulé)</t>
        </is>
      </c>
      <c r="B22" s="0" t="inlineStr">
        <is>
          <t>Trésorerie disponible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</row>
    <row r="23"/>
    <row r="24">
      <c r="A24" s="365" t="inlineStr">
        <is>
          <t>MÉTRIQUES</t>
        </is>
      </c>
    </row>
    <row r="25">
      <c r="A25" s="0" t="inlineStr">
        <is>
          <t xml:space="preserve">  Burn Rate (€/mois)</t>
        </is>
      </c>
      <c r="B25" s="0" t="inlineStr">
        <is>
          <t>Operating CF négatif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</row>
    <row r="26">
      <c r="A26" s="0" t="inlineStr">
        <is>
          <t xml:space="preserve">  Cash Runway (mois)</t>
        </is>
      </c>
      <c r="B26" s="0" t="inlineStr">
        <is>
          <t>Cash balance / Burn rate</t>
        </is>
      </c>
      <c r="H26" t="n">
        <v>999</v>
      </c>
      <c r="I26" t="n">
        <v>999</v>
      </c>
      <c r="J26" t="n">
        <v>999</v>
      </c>
      <c r="K26" t="n">
        <v>999</v>
      </c>
      <c r="L26" t="n">
        <v>999</v>
      </c>
      <c r="M26" t="n">
        <v>999</v>
      </c>
      <c r="N26" t="n">
        <v>999</v>
      </c>
      <c r="O26" t="n">
        <v>999</v>
      </c>
      <c r="P26" t="n">
        <v>999</v>
      </c>
      <c r="Q26" t="n">
        <v>999</v>
      </c>
      <c r="R26" t="n">
        <v>999</v>
      </c>
      <c r="S26" t="n">
        <v>999</v>
      </c>
      <c r="T26" t="n">
        <v>999</v>
      </c>
      <c r="U26" t="n">
        <v>999</v>
      </c>
      <c r="V26" t="n">
        <v>999</v>
      </c>
      <c r="W26" t="n">
        <v>999</v>
      </c>
      <c r="X26" t="n">
        <v>999</v>
      </c>
      <c r="Y26" t="n">
        <v>999</v>
      </c>
      <c r="Z26" t="n">
        <v>999</v>
      </c>
      <c r="AA26" t="n">
        <v>999</v>
      </c>
      <c r="AB26" t="n">
        <v>999</v>
      </c>
      <c r="AC26" t="n">
        <v>999</v>
      </c>
      <c r="AD26" t="n">
        <v>999</v>
      </c>
      <c r="AE26" t="n">
        <v>999</v>
      </c>
      <c r="AF26" t="n">
        <v>999</v>
      </c>
      <c r="AG26" t="n">
        <v>999</v>
      </c>
      <c r="AH26" t="n">
        <v>999</v>
      </c>
      <c r="AI26" t="n">
        <v>999</v>
      </c>
      <c r="AJ26" t="n">
        <v>999</v>
      </c>
      <c r="AK26" t="n">
        <v>999</v>
      </c>
      <c r="AL26" t="n">
        <v>999</v>
      </c>
      <c r="AM26" t="n">
        <v>999</v>
      </c>
      <c r="AN26" t="n">
        <v>999</v>
      </c>
      <c r="AO26" t="n">
        <v>999</v>
      </c>
      <c r="AP26" t="n">
        <v>999</v>
      </c>
      <c r="AQ26" t="n">
        <v>999</v>
      </c>
      <c r="AR26" t="n">
        <v>999</v>
      </c>
      <c r="AS26" t="n">
        <v>999</v>
      </c>
      <c r="AT26" t="n">
        <v>999</v>
      </c>
      <c r="AU26" t="n">
        <v>999</v>
      </c>
      <c r="AV26" t="n">
        <v>999</v>
      </c>
      <c r="AW26" t="n">
        <v>999</v>
      </c>
      <c r="AX26" t="n">
        <v>999</v>
      </c>
      <c r="AY26" t="n">
        <v>999</v>
      </c>
      <c r="AZ26" t="n">
        <v>999</v>
      </c>
      <c r="BA26" t="n">
        <v>999</v>
      </c>
      <c r="BB26" t="n">
        <v>999</v>
      </c>
      <c r="BC26" t="n">
        <v>999</v>
      </c>
      <c r="BD26" t="n">
        <v>999</v>
      </c>
      <c r="BE26" t="n">
        <v>999</v>
      </c>
    </row>
    <row r="27"/>
    <row r="28"/>
    <row r="29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s="0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s="0" t="n">
        <v>800000</v>
      </c>
      <c r="C5" s="0" t="n">
        <v>952000</v>
      </c>
      <c r="D5" s="0" t="n">
        <v>648000</v>
      </c>
      <c r="E5" s="0" t="inlineStr">
        <is>
          <t>Annual Recurring Revenue à M14</t>
        </is>
      </c>
    </row>
    <row r="6">
      <c r="A6" s="0" t="inlineStr">
        <is>
          <t>Probabilité</t>
        </is>
      </c>
      <c r="B6" s="0" t="inlineStr">
        <is>
          <t>60.0%</t>
        </is>
      </c>
      <c r="C6" s="0" t="inlineStr">
        <is>
          <t>20.0%</t>
        </is>
      </c>
      <c r="D6" s="0" t="inlineStr">
        <is>
          <t>20.0%</t>
        </is>
      </c>
    </row>
    <row r="8">
      <c r="A8" s="365" t="inlineStr">
        <is>
          <t>HYPOTHÈSES HACKATHON</t>
        </is>
      </c>
    </row>
    <row r="9">
      <c r="A9" s="0" t="inlineStr">
        <is>
          <t>Volume multiplier</t>
        </is>
      </c>
      <c r="B9" s="0" t="inlineStr">
        <is>
          <t>1.0×</t>
        </is>
      </c>
      <c r="C9" s="0" t="inlineStr">
        <is>
          <t>1.2×</t>
        </is>
      </c>
      <c r="D9" s="0" t="inlineStr">
        <is>
          <t>0.8×</t>
        </is>
      </c>
      <c r="E9" s="0" t="inlineStr">
        <is>
          <t>Multiplicateur volumes hackathons</t>
        </is>
      </c>
    </row>
    <row r="10">
      <c r="A10" s="0" t="inlineStr">
        <is>
          <t>Conversion → Factory</t>
        </is>
      </c>
      <c r="B10" s="0" t="inlineStr">
        <is>
          <t>30%</t>
        </is>
      </c>
      <c r="C10" s="0" t="inlineStr">
        <is>
          <t>35.0%</t>
        </is>
      </c>
      <c r="D10" s="0" t="inlineStr">
        <is>
          <t>25.0%</t>
        </is>
      </c>
      <c r="E10" s="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s="0" t="inlineStr">
        <is>
          <t>Launch delay</t>
        </is>
      </c>
      <c r="B13" s="0" t="inlineStr">
        <is>
          <t>M8 (aucun retard)</t>
        </is>
      </c>
      <c r="C13" s="0" t="inlineStr">
        <is>
          <t>M8 (accéléré)</t>
        </is>
      </c>
      <c r="D13" s="0" t="inlineStr">
        <is>
          <t>M10 (+2 mois)</t>
        </is>
      </c>
      <c r="E13" s="0" t="inlineStr">
        <is>
          <t>Délai lancement Hub</t>
        </is>
      </c>
    </row>
    <row r="14">
      <c r="A14" s="0" t="inlineStr">
        <is>
          <t>Adoption speed</t>
        </is>
      </c>
      <c r="B14" s="0" t="inlineStr">
        <is>
          <t>Normal</t>
        </is>
      </c>
      <c r="C14" s="0" t="inlineStr">
        <is>
          <t>Rapide (+20%)</t>
        </is>
      </c>
      <c r="D14" s="0" t="inlineStr">
        <is>
          <t>Lente (-20%)</t>
        </is>
      </c>
    </row>
    <row r="16">
      <c r="A16" s="365" t="inlineStr">
        <is>
          <t>IMPACT FINANCIER ESTIMÉ</t>
        </is>
      </c>
    </row>
    <row r="17">
      <c r="A17" s="0" t="inlineStr">
        <is>
          <t>ARR M14</t>
        </is>
      </c>
      <c r="B17" s="0" t="n">
        <v>800000</v>
      </c>
      <c r="C17" s="0" t="n">
        <v>952000</v>
      </c>
      <c r="D17" s="0" t="n">
        <v>648000</v>
      </c>
    </row>
    <row r="18">
      <c r="A18" s="0" t="inlineStr">
        <is>
          <t>vs Base Case</t>
        </is>
      </c>
      <c r="B18" s="0" t="inlineStr">
        <is>
          <t>0%</t>
        </is>
      </c>
      <c r="C18" s="0" t="inlineStr">
        <is>
          <t>+19%</t>
        </is>
      </c>
      <c r="D18" s="0" t="inlineStr">
        <is>
          <t>-19%</t>
        </is>
      </c>
    </row>
    <row r="20">
      <c r="A20" s="365" t="inlineStr">
        <is>
          <t>HYPOTHÈSES CRITIQUES</t>
        </is>
      </c>
    </row>
    <row r="21">
      <c r="A21" s="0" t="inlineStr">
        <is>
          <t>• Conversion hackathon → factory 30%</t>
        </is>
      </c>
      <c r="B21" s="0" t="inlineStr">
        <is>
          <t>MEDIUM</t>
        </is>
      </c>
      <c r="E21" s="0" t="inlineStr">
        <is>
          <t>Améliorer suivi post-hackathon, PoC gratuits</t>
        </is>
      </c>
    </row>
    <row r="22">
      <c r="A22" s="0" t="inlineStr">
        <is>
          <t>• Lancement Hub M8 sans retard</t>
        </is>
      </c>
      <c r="B22" s="0" t="inlineStr">
        <is>
          <t>HIGH</t>
        </is>
      </c>
      <c r="E22" s="0" t="inlineStr">
        <is>
          <t>Dev parallèle dès M3, beta testing M6-M7</t>
        </is>
      </c>
    </row>
    <row r="23">
      <c r="A23" s="0" t="inlineStr">
        <is>
          <t>• Seed 500K€ en Sept 2026</t>
        </is>
      </c>
      <c r="B23" s="0" t="inlineStr">
        <is>
          <t>MEDIUM</t>
        </is>
      </c>
      <c r="E23" s="0" t="inlineStr">
        <is>
          <t>Prep fundraising dès M6, pipeline investisseurs dè</t>
        </is>
      </c>
    </row>
    <row r="24">
      <c r="A24" s="0" t="inlineStr">
        <is>
          <t>• Churn Hub 10% annuel</t>
        </is>
      </c>
      <c r="B24" s="0" t="inlineStr">
        <is>
          <t>LOW</t>
        </is>
      </c>
      <c r="E24" s="0" t="inlineStr">
        <is>
          <t>Customer success dédié dès M11, NPS tracking</t>
        </is>
      </c>
    </row>
    <row r="25">
      <c r="A25" s="0" t="inlineStr">
        <is>
          <t>• Équipe 5 → 12 ETP sans turnover</t>
        </is>
      </c>
      <c r="B25" s="0" t="inlineStr">
        <is>
          <t>MEDIUM</t>
        </is>
      </c>
      <c r="E25" s="0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s="0" t="inlineStr">
        <is>
          <t>Hackathon</t>
        </is>
      </c>
      <c r="B4" s="0" t="n">
        <v>18000</v>
      </c>
      <c r="C4" s="0" t="n">
        <v>5000</v>
      </c>
      <c r="D4" s="0" t="n">
        <v>27000</v>
      </c>
      <c r="E4" s="0">
        <f>D4/C4</f>
        <v/>
      </c>
      <c r="F4" s="0" t="n">
        <v>1</v>
      </c>
      <c r="G4" s="0" t="inlineStr">
        <is>
          <t>80%</t>
        </is>
      </c>
      <c r="H4" s="0" t="inlineStr">
        <is>
          <t>Offre d'entrée, forte marge</t>
        </is>
      </c>
    </row>
    <row r="5">
      <c r="A5" s="0" t="inlineStr">
        <is>
          <t>Factory</t>
        </is>
      </c>
      <c r="B5" s="0" t="n">
        <v>75000</v>
      </c>
      <c r="C5" s="0" t="n">
        <v>10000</v>
      </c>
      <c r="D5" s="0" t="n">
        <v>150000</v>
      </c>
      <c r="E5" s="0">
        <f>D5/C5</f>
        <v/>
      </c>
      <c r="F5" s="0" t="n">
        <v>3</v>
      </c>
      <c r="G5" s="0" t="inlineStr">
        <is>
          <t>65%</t>
        </is>
      </c>
      <c r="H5" s="0" t="inlineStr">
        <is>
          <t>Conversion naturelle hackathon</t>
        </is>
      </c>
    </row>
    <row r="6">
      <c r="A6" s="0" t="inlineStr">
        <is>
          <t>Hub Starter</t>
        </is>
      </c>
      <c r="B6" s="0" t="inlineStr">
        <is>
          <t>500€/mois</t>
        </is>
      </c>
      <c r="C6" s="0" t="n">
        <v>15000</v>
      </c>
      <c r="D6" s="0" t="n">
        <v>36000</v>
      </c>
      <c r="E6" s="0">
        <f>D6/C6</f>
        <v/>
      </c>
      <c r="F6" s="0" t="n">
        <v>30</v>
      </c>
      <c r="G6" s="0" t="inlineStr">
        <is>
          <t>75%</t>
        </is>
      </c>
      <c r="H6" s="0" t="inlineStr">
        <is>
          <t>SaaS récurrent, target PME</t>
        </is>
      </c>
    </row>
    <row r="7">
      <c r="A7" s="0" t="inlineStr">
        <is>
          <t>Hub Business</t>
        </is>
      </c>
      <c r="B7" s="0" t="inlineStr">
        <is>
          <t>2000€/mois</t>
        </is>
      </c>
      <c r="C7" s="0" t="n">
        <v>15000</v>
      </c>
      <c r="D7" s="0" t="n">
        <v>60000</v>
      </c>
      <c r="E7" s="0">
        <f>D7/C7</f>
        <v/>
      </c>
      <c r="F7" s="0" t="n">
        <v>8</v>
      </c>
      <c r="G7" s="0" t="inlineStr">
        <is>
          <t>78%</t>
        </is>
      </c>
      <c r="H7" s="0" t="inlineStr">
        <is>
          <t>SaaS récurrent, target ETI</t>
        </is>
      </c>
    </row>
    <row r="8">
      <c r="A8" s="0" t="inlineStr">
        <is>
          <t>Hub Enterprise</t>
        </is>
      </c>
      <c r="B8" s="0" t="inlineStr">
        <is>
          <t>10000€/mois</t>
        </is>
      </c>
      <c r="C8" s="0" t="n">
        <v>15000</v>
      </c>
      <c r="D8" s="0" t="n">
        <v>120000</v>
      </c>
      <c r="E8" s="0">
        <f>D8/C8</f>
        <v/>
      </c>
      <c r="F8" s="0" t="n">
        <v>2</v>
      </c>
      <c r="G8" s="0" t="inlineStr">
        <is>
          <t>80%</t>
        </is>
      </c>
      <c r="H8" s="0" t="inlineStr">
        <is>
          <t>SaaS récurrent, target Grands Comptes</t>
        </is>
      </c>
    </row>
    <row r="9">
      <c r="A9" s="0" t="inlineStr">
        <is>
          <t>Services Implémentation</t>
        </is>
      </c>
      <c r="B9" s="0" t="n">
        <v>10000</v>
      </c>
      <c r="C9" s="0" t="n">
        <v>2000</v>
      </c>
      <c r="D9" s="0" t="n">
        <v>12000</v>
      </c>
      <c r="E9" s="0">
        <f>D9/C9</f>
        <v/>
      </c>
      <c r="F9" s="0" t="n">
        <v>1</v>
      </c>
      <c r="G9" s="0" t="inlineStr">
        <is>
          <t>70%</t>
        </is>
      </c>
      <c r="H9" s="0" t="inlineStr">
        <is>
          <t>Revenus complémentaires</t>
        </is>
      </c>
    </row>
    <row r="11">
      <c r="A11" s="365" t="inlineStr">
        <is>
          <t>RÉSUMÉ</t>
        </is>
      </c>
    </row>
    <row r="12">
      <c r="A12" s="0" t="inlineStr">
        <is>
          <t>LTV/CAC Moyen Pondéré</t>
        </is>
      </c>
      <c r="B12" s="0" t="n">
        <v>8</v>
      </c>
      <c r="H12" s="0" t="inlineStr">
        <is>
          <t>Target: 8× (excellent pour SaaS B2B)</t>
        </is>
      </c>
    </row>
    <row r="13">
      <c r="A13" s="0" t="inlineStr">
        <is>
          <t>Payback Moyen (mois)</t>
        </is>
      </c>
      <c r="B13" s="0" t="inlineStr">
        <is>
          <t>6-12 mois</t>
        </is>
      </c>
      <c r="H13" s="0" t="inlineStr">
        <is>
          <t>Variable selon produit et tier</t>
        </is>
      </c>
    </row>
    <row r="14">
      <c r="A14" s="0" t="inlineStr">
        <is>
          <t>Churn Annual Max</t>
        </is>
      </c>
      <c r="B14" s="0" t="inlineStr">
        <is>
          <t>15.0%</t>
        </is>
      </c>
      <c r="H14" s="0" t="inlineStr">
        <is>
          <t>Hub uniquement (hackathon/factory = one-time)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15" customWidth="1" style="362" min="2" max="2"/>
    <col width="20" customWidth="1" style="362" min="3" max="3"/>
    <col width="15" customWidth="1" style="362" min="4" max="4"/>
    <col width="15" customWidth="1" style="362" min="5" max="5"/>
    <col width="35" customWidth="1" style="362" min="6" max="6"/>
  </cols>
  <sheetData>
    <row r="1">
      <c r="A1" s="387" t="inlineStr">
        <is>
          <t>DATA QUALITY CHECKS</t>
        </is>
      </c>
    </row>
    <row r="2">
      <c r="A2" s="0" t="inlineStr">
        <is>
          <t>Vérifications automatiques de cohérence</t>
        </is>
      </c>
    </row>
    <row r="4">
      <c r="A4" s="365" t="inlineStr">
        <is>
          <t>Check</t>
        </is>
      </c>
      <c r="B4" s="365" t="inlineStr">
        <is>
          <t>Valeur Min</t>
        </is>
      </c>
      <c r="C4" s="365" t="inlineStr">
        <is>
          <t>Valeur Actuelle</t>
        </is>
      </c>
      <c r="D4" s="365" t="inlineStr">
        <is>
          <t>Valeur Max</t>
        </is>
      </c>
      <c r="E4" s="365" t="inlineStr">
        <is>
          <t>Status</t>
        </is>
      </c>
      <c r="F4" s="365" t="inlineStr">
        <is>
          <t>Notes</t>
        </is>
      </c>
    </row>
    <row r="5">
      <c r="A5" s="0" t="inlineStr">
        <is>
          <t>ARR M14</t>
        </is>
      </c>
      <c r="B5" s="0" t="n">
        <v>720000</v>
      </c>
      <c r="C5" s="0" t="inlineStr">
        <is>
          <t>[À vérifier dans P&amp;L]</t>
        </is>
      </c>
      <c r="D5" s="0" t="n">
        <v>880000</v>
      </c>
      <c r="E5" s="0">
        <f>IF(AND(C5&gt;=B5,C5&lt;=D5),"✓ OK","⚠️ ALERTE")</f>
        <v/>
      </c>
      <c r="F5" s="0" t="inlineStr">
        <is>
          <t>Milestone contractuel critique</t>
        </is>
      </c>
    </row>
    <row r="6">
      <c r="A6" s="0" t="inlineStr">
        <is>
          <t>Team Size M14</t>
        </is>
      </c>
      <c r="B6" s="0" t="n">
        <v>4</v>
      </c>
      <c r="C6" s="0" t="inlineStr">
        <is>
          <t>[À vérifier dans Personnel]</t>
        </is>
      </c>
      <c r="D6" s="0" t="n">
        <v>15</v>
      </c>
      <c r="E6" s="0">
        <f>IF(AND(C6&gt;=B6,C6&lt;=D6),"✓ OK","⚠️ ALERTE")</f>
        <v/>
      </c>
      <c r="F6" s="0" t="inlineStr">
        <is>
          <t>Croissance équipe maîtrisée</t>
        </is>
      </c>
    </row>
    <row r="7">
      <c r="A7" s="0" t="inlineStr">
        <is>
          <t>Cash Balance Min</t>
        </is>
      </c>
      <c r="B7" s="0" t="n">
        <v>50000</v>
      </c>
      <c r="C7" s="0" t="inlineStr">
        <is>
          <t>[À vérifier dans Cash Flow]</t>
        </is>
      </c>
      <c r="D7" s="0" t="inlineStr">
        <is>
          <t>N/A</t>
        </is>
      </c>
      <c r="E7" s="0">
        <f>IF(C7&gt;=B7,"✓ OK","⚠️ ALERTE")</f>
        <v/>
      </c>
      <c r="F7" s="0" t="inlineStr">
        <is>
          <t>Trésorerie sécurisée</t>
        </is>
      </c>
    </row>
    <row r="8">
      <c r="A8" s="0" t="inlineStr">
        <is>
          <t>Burn Rate Max (€/mois)</t>
        </is>
      </c>
      <c r="B8" s="0" t="inlineStr">
        <is>
          <t>0</t>
        </is>
      </c>
      <c r="C8" s="0" t="inlineStr">
        <is>
          <t>[À vérifier dans Cash Flow]</t>
        </is>
      </c>
      <c r="D8" s="0" t="n">
        <v>60000</v>
      </c>
      <c r="E8" s="0">
        <f>IF(C8&lt;=D8,"✓ OK","⚠️ ALERTE")</f>
        <v/>
      </c>
      <c r="F8" s="0" t="inlineStr">
        <is>
          <t>Burn sous contrôle</t>
        </is>
      </c>
    </row>
    <row r="9">
      <c r="A9" s="0" t="inlineStr">
        <is>
          <t>Conversion Factory (%)</t>
        </is>
      </c>
      <c r="B9" s="0" t="inlineStr">
        <is>
          <t>25.0%</t>
        </is>
      </c>
      <c r="C9" s="0" t="inlineStr">
        <is>
          <t>35%</t>
        </is>
      </c>
      <c r="D9" s="0" t="inlineStr">
        <is>
          <t>N/A</t>
        </is>
      </c>
      <c r="E9" s="0" t="inlineStr">
        <is>
          <t>✓ OK</t>
        </is>
      </c>
      <c r="F9" s="0" t="inlineStr">
        <is>
          <t>Conversion validée</t>
        </is>
      </c>
    </row>
    <row r="10">
      <c r="A10" s="0" t="inlineStr">
        <is>
          <t>Churn Hub Monthly (%)</t>
        </is>
      </c>
      <c r="B10" s="0" t="inlineStr">
        <is>
          <t>0%</t>
        </is>
      </c>
      <c r="C10" s="0" t="inlineStr">
        <is>
          <t>0.8%</t>
        </is>
      </c>
      <c r="D10" s="0" t="inlineStr">
        <is>
          <t>1.5%</t>
        </is>
      </c>
      <c r="E10" s="0" t="inlineStr">
        <is>
          <t>✓ OK</t>
        </is>
      </c>
      <c r="F10" s="0" t="inlineStr">
        <is>
          <t>Churn acceptable</t>
        </is>
      </c>
    </row>
    <row r="12">
      <c r="A12" s="365" t="inlineStr">
        <is>
          <t>CHECKS DE COHÉRENCE</t>
        </is>
      </c>
    </row>
    <row r="13">
      <c r="A13" s="0" t="inlineStr">
        <is>
          <t>CA Total = Somme produits</t>
        </is>
      </c>
      <c r="E13" s="0" t="inlineStr">
        <is>
          <t>[À vérifier manuellement]</t>
        </is>
      </c>
      <c r="F13" s="0" t="inlineStr">
        <is>
          <t>Hackathon + Factory + Hub + Services</t>
        </is>
      </c>
    </row>
    <row r="14">
      <c r="A14" s="0" t="inlineStr">
        <is>
          <t>Cash Balance toujours &gt; 0</t>
        </is>
      </c>
      <c r="E14" s="0" t="inlineStr">
        <is>
          <t>[Vérifier Cash Flow]</t>
        </is>
      </c>
      <c r="F14" s="0" t="inlineStr">
        <is>
          <t>Sur les 50 mois</t>
        </is>
      </c>
    </row>
    <row r="15">
      <c r="A15" s="0" t="inlineStr">
        <is>
          <t>Team Cost &lt; Total Costs</t>
        </is>
      </c>
      <c r="E15" s="0" t="inlineStr">
        <is>
          <t>[Vérifier Charges Personnel]</t>
        </is>
      </c>
      <c r="F15" s="0" t="inlineStr">
        <is>
          <t>Personnel principal poste de coût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40" customWidth="1" style="362" min="2" max="2"/>
    <col width="35" customWidth="1" style="362" min="3" max="3"/>
    <col width="80" customWidth="1" style="362" min="4" max="4"/>
  </cols>
  <sheetData>
    <row r="1">
      <c r="A1" s="388" t="inlineStr">
        <is>
          <t>DOCUMENTATION DU BUSINESS PLAN</t>
        </is>
      </c>
    </row>
    <row r="3">
      <c r="A3" s="389" t="inlineStr">
        <is>
          <t>MÉTADONNÉES</t>
        </is>
      </c>
    </row>
    <row r="4">
      <c r="A4" s="0" t="inlineStr">
        <is>
          <t>Version</t>
        </is>
      </c>
      <c r="B4" s="0" t="inlineStr">
        <is>
          <t>1.0</t>
        </is>
      </c>
    </row>
    <row r="5">
      <c r="A5" s="0" t="inlineStr">
        <is>
          <t>Date création</t>
        </is>
      </c>
      <c r="B5" s="0" t="inlineStr">
        <is>
          <t>2025-11-20</t>
        </is>
      </c>
    </row>
    <row r="6">
      <c r="A6" s="0" t="inlineStr">
        <is>
          <t>Auteur</t>
        </is>
      </c>
      <c r="B6" s="0" t="inlineStr">
        <is>
          <t>Claude Code - Automated Generation</t>
        </is>
      </c>
    </row>
    <row r="7">
      <c r="A7" s="0" t="inlineStr">
        <is>
          <t>Sources</t>
        </is>
      </c>
      <c r="B7" s="0" t="inlineStr">
        <is>
          <t>BP_FABRIQ_PRODUCT-OCT2025.xlsx, Business_Plan_GenieFactory-SEPT2025.docx, GENIE_FACTORY_PACTE_AATL-v3.docx</t>
        </is>
      </c>
    </row>
    <row r="9">
      <c r="A9" s="389" t="inlineStr">
        <is>
          <t>HISTORIQUE DES RÉVISIONS</t>
        </is>
      </c>
    </row>
    <row r="10">
      <c r="A10" s="365" t="inlineStr">
        <is>
          <t>Version</t>
        </is>
      </c>
      <c r="B10" s="365" t="inlineStr">
        <is>
          <t>Date</t>
        </is>
      </c>
      <c r="C10" s="365" t="inlineStr">
        <is>
          <t>Auteur</t>
        </is>
      </c>
      <c r="D10" s="365" t="inlineStr">
        <is>
          <t>Changements</t>
        </is>
      </c>
    </row>
    <row r="11">
      <c r="A11" s="0" t="inlineStr">
        <is>
          <t>1.2</t>
        </is>
      </c>
      <c r="B11" s="0" t="inlineStr">
        <is>
          <t>2025-11-21</t>
        </is>
      </c>
      <c r="C11" s="0" t="inlineStr">
        <is>
          <t>Claude Code - Cap Table Alignm</t>
        </is>
      </c>
      <c r="D11" s="0" t="inlineStr">
        <is>
          <t>HYPOTHÈSES AGRESSIVES pour atteindre ARR targets: M1-M14 volumes 3× augmentés (2</t>
        </is>
      </c>
    </row>
    <row r="12">
      <c r="A12" s="0" t="inlineStr">
        <is>
          <t>1.1</t>
        </is>
      </c>
      <c r="B12" s="0" t="inlineStr">
        <is>
          <t>2025-11-20</t>
        </is>
      </c>
      <c r="C12" s="0" t="inlineStr">
        <is>
          <t>Claude Code - Phase A Extensio</t>
        </is>
      </c>
      <c r="D12" s="0" t="inlineStr">
        <is>
          <t>Extension 50 mois (2027-2029): personnel détail, infrastructure, marketing, proj</t>
        </is>
      </c>
    </row>
    <row r="13">
      <c r="A13" s="0" t="inlineStr">
        <is>
          <t>1.0</t>
        </is>
      </c>
      <c r="B13" s="0" t="inlineStr">
        <is>
          <t>2025-11-20</t>
        </is>
      </c>
      <c r="C13" s="0" t="inlineStr">
        <is>
          <t>Claude Code - Automated</t>
        </is>
      </c>
      <c r="D13" s="0" t="inlineStr">
        <is>
          <t>Initial version - extraction BP Oct 2025</t>
        </is>
      </c>
    </row>
    <row r="15">
      <c r="A15" s="389" t="inlineStr">
        <is>
          <t>NOTES D'UTILISATION</t>
        </is>
      </c>
    </row>
    <row r="16">
      <c r="A16" s="0" t="inlineStr">
        <is>
          <t>Ce fichier est la SOURCE UNIQUE DE VÉRITÉ pour les projections BP 14 mois.</t>
        </is>
      </c>
    </row>
    <row r="17">
      <c r="A17" s="0" t="inlineStr">
        <is>
          <t>Workflow:</t>
        </is>
      </c>
    </row>
    <row r="18">
      <c r="A18" s="0" t="inlineStr">
        <is>
          <t>1. Modifier assumptions.yaml selon hypothèses business</t>
        </is>
      </c>
    </row>
    <row r="19">
      <c r="A19" s="0" t="inlineStr">
        <is>
          <t>2. Lancer: python scripts/3_calculate_projections.py</t>
        </is>
      </c>
    </row>
    <row r="20">
      <c r="A20" s="0" t="inlineStr">
        <is>
          <t>3. Vérifier: python scripts/6_validate.py</t>
        </is>
      </c>
    </row>
    <row r="21">
      <c r="A21" s="0" t="inlineStr">
        <is>
          <t>4. Si OK, générer docs: python scripts/4_generate_bp_excel.py</t>
        </is>
      </c>
    </row>
    <row r="22">
      <c r="A22" s="0" t="inlineStr">
        <is>
          <t>Chaque valeur est sourcée et commentée.</t>
        </is>
      </c>
    </row>
    <row r="25">
      <c r="A25" s="389" t="inlineStr">
        <is>
          <t>STRUCTURE DU BP</t>
        </is>
      </c>
    </row>
    <row r="26">
      <c r="A26" s="0" t="inlineStr">
        <is>
          <t>Workflow</t>
        </is>
      </c>
      <c r="B26" s="0" t="inlineStr">
        <is>
          <t>RAW → TEMPLATE → FINAL</t>
        </is>
      </c>
    </row>
    <row r="27">
      <c r="A27" s="0" t="inlineStr">
        <is>
          <t>Source unique</t>
        </is>
      </c>
      <c r="B27" s="0" t="inlineStr">
        <is>
          <t>assumptions.yaml + funding_captable.yaml</t>
        </is>
      </c>
    </row>
    <row r="28">
      <c r="A28" s="0" t="inlineStr">
        <is>
          <t>Projections</t>
        </is>
      </c>
      <c r="B28" s="0" t="inlineStr">
        <is>
          <t>projections_50m.json (généré par Python)</t>
        </is>
      </c>
    </row>
    <row r="29">
      <c r="A29" s="0" t="inlineStr">
        <is>
          <t>Mapping</t>
        </is>
      </c>
      <c r="B29" s="0" t="inlineStr">
        <is>
          <t>YAML → Excel 100% complet</t>
        </is>
      </c>
    </row>
    <row r="30">
      <c r="A30" s="0" t="inlineStr">
        <is>
          <t>Formules</t>
        </is>
      </c>
      <c r="B30" s="0" t="inlineStr">
        <is>
          <t>3108 formules Excel préservées</t>
        </is>
      </c>
    </row>
    <row r="31">
      <c r="A31" s="0" t="inlineStr">
        <is>
          <t>Sheets totaux</t>
        </is>
      </c>
      <c r="B31" s="0" t="inlineStr">
        <is>
          <t>17 (14 RAW + 3 nouveaux)</t>
        </is>
      </c>
    </row>
    <row r="32">
      <c r="A32" s="0" t="inlineStr">
        <is>
          <t>Nouveaux sheets</t>
        </is>
      </c>
      <c r="B32" s="0" t="inlineStr">
        <is>
          <t>Cash Flow, Scenarios, Unit Economics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2025-11-22T07:19:24Z</dcterms:created>
  <dcterms:modified xmlns:dcterms="http://purl.org/dc/terms/" xmlns:xsi="http://www.w3.org/2001/XMLSchema-instance" xsi:type="dcterms:W3CDTF">2025-11-22T07:19:41Z</dcterms:modified>
</cp:coreProperties>
</file>